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1_{BD1AC4A5-EBB3-4B72-810A-51B0A897107B}" xr6:coauthVersionLast="47" xr6:coauthVersionMax="47" xr10:uidLastSave="{00000000-0000-0000-0000-000000000000}"/>
  <bookViews>
    <workbookView xWindow="-108" yWindow="-108" windowWidth="23256" windowHeight="12456" xr2:uid="{00000000-000D-0000-FFFF-FFFF00000000}"/>
  </bookViews>
  <sheets>
    <sheet name="ProjectSchedule" sheetId="11" r:id="rId1"/>
    <sheet name="Hoja1" sheetId="13" r:id="rId2"/>
    <sheet name="Acerca de" sheetId="12" r:id="rId3"/>
  </sheets>
  <definedNames>
    <definedName name="_xlnm._FilterDatabase" localSheetId="0" hidden="1">ProjectSchedule!$A$1:$AG$141</definedName>
    <definedName name="hoy" localSheetId="0">TODAY()</definedName>
    <definedName name="Inicio_del_proyecto">ProjectSchedule!$C$2</definedName>
    <definedName name="Semana_para_mostrar">ProjectSchedule!$C$3</definedName>
    <definedName name="task_end" localSheetId="0">ProjectSchedule!$D1</definedName>
    <definedName name="task_progress" localSheetId="0">ProjectSchedule!#REF!</definedName>
    <definedName name="task_start" localSheetId="0">ProjectSchedule!$C1</definedName>
    <definedName name="_xlnm.Print_Titles" localSheetId="0">ProjectSchedule!$3:$5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3" l="1"/>
  <c r="E138" i="11"/>
  <c r="E137" i="11"/>
  <c r="E136" i="11"/>
  <c r="E135" i="11"/>
  <c r="E134" i="11"/>
  <c r="E133" i="11"/>
  <c r="E123" i="11"/>
  <c r="E112" i="11"/>
  <c r="E109" i="11"/>
  <c r="E97" i="11"/>
  <c r="E96" i="11"/>
  <c r="E95" i="11"/>
  <c r="E94" i="11"/>
  <c r="E93" i="11"/>
  <c r="E92" i="11"/>
  <c r="E78" i="11"/>
  <c r="E70" i="11"/>
  <c r="E67" i="11"/>
  <c r="E53" i="11"/>
  <c r="E52" i="11"/>
  <c r="E51" i="11"/>
  <c r="E50" i="11"/>
  <c r="E49" i="11"/>
  <c r="E54" i="11"/>
  <c r="E45" i="11"/>
  <c r="E42" i="11"/>
  <c r="E32" i="11"/>
  <c r="E7" i="11"/>
  <c r="B1" i="13" l="1"/>
  <c r="B4" i="13"/>
  <c r="B3" i="13"/>
  <c r="B2" i="13"/>
  <c r="E111" i="11"/>
  <c r="E110" i="11"/>
  <c r="E69" i="11"/>
  <c r="E68" i="11"/>
  <c r="E47" i="11"/>
  <c r="E46" i="11"/>
  <c r="E44" i="11"/>
  <c r="E43" i="11"/>
  <c r="E125" i="11" l="1"/>
  <c r="E124" i="11"/>
  <c r="E80" i="11"/>
  <c r="E79" i="11"/>
  <c r="E55" i="11"/>
  <c r="E48" i="11"/>
  <c r="E33" i="11"/>
  <c r="E17" i="11"/>
  <c r="F4" i="11"/>
  <c r="E27" i="11"/>
  <c r="E26" i="11"/>
  <c r="E25" i="11"/>
  <c r="E24" i="11"/>
  <c r="E22" i="11"/>
  <c r="E16" i="11"/>
  <c r="E15" i="11"/>
  <c r="E9" i="11"/>
  <c r="E6" i="11"/>
  <c r="F3" i="11" l="1"/>
  <c r="F5" i="11"/>
  <c r="E57" i="11"/>
  <c r="E56" i="11"/>
  <c r="E35" i="11"/>
  <c r="E34" i="11"/>
  <c r="E126" i="11" l="1"/>
  <c r="E128" i="11"/>
  <c r="E127" i="11"/>
  <c r="E83" i="11"/>
  <c r="E81" i="11"/>
  <c r="E82" i="11"/>
  <c r="E23" i="11"/>
  <c r="E20" i="11"/>
  <c r="E10" i="11"/>
  <c r="G4" i="11"/>
  <c r="H4" i="11" s="1"/>
  <c r="I4" i="11" s="1"/>
  <c r="J4" i="11" s="1"/>
  <c r="K4" i="11" s="1"/>
  <c r="L4" i="11" s="1"/>
  <c r="M4" i="11" s="1"/>
  <c r="M3" i="11" s="1"/>
  <c r="E18" i="11" l="1"/>
  <c r="E19" i="11"/>
  <c r="E11" i="11"/>
  <c r="E8" i="11"/>
  <c r="N4" i="11"/>
  <c r="O4" i="11" s="1"/>
  <c r="P4" i="11" s="1"/>
  <c r="Q4" i="11" s="1"/>
  <c r="R4" i="11" s="1"/>
  <c r="S4" i="11" s="1"/>
  <c r="T4" i="11" s="1"/>
  <c r="G5" i="11"/>
  <c r="E12" i="11" l="1"/>
  <c r="T3" i="11"/>
  <c r="U4" i="11"/>
  <c r="V4" i="11" s="1"/>
  <c r="W4" i="11" s="1"/>
  <c r="X4" i="11" s="1"/>
  <c r="Y4" i="11" s="1"/>
  <c r="Z4" i="11" s="1"/>
  <c r="AA4" i="11" s="1"/>
  <c r="H5" i="11"/>
  <c r="AB4" i="11" l="1"/>
  <c r="AC4" i="11" s="1"/>
  <c r="AD4" i="11" s="1"/>
  <c r="AE4" i="11" s="1"/>
  <c r="AF4" i="11" s="1"/>
  <c r="AG4" i="11" s="1"/>
  <c r="AA3" i="11"/>
  <c r="I5" i="11"/>
  <c r="J5" i="11" l="1"/>
  <c r="K5" i="11" l="1"/>
  <c r="L5" i="11" l="1"/>
  <c r="M5" i="11" l="1"/>
  <c r="N5" i="11"/>
  <c r="O5" i="11" l="1"/>
  <c r="P5" i="11" l="1"/>
  <c r="Q5" i="11"/>
  <c r="R5" i="11" l="1"/>
  <c r="S5" i="11" l="1"/>
  <c r="T5" i="11" l="1"/>
  <c r="U5" i="11" l="1"/>
  <c r="V5" i="11" l="1"/>
  <c r="W5" i="11" l="1"/>
  <c r="X5" i="11"/>
  <c r="Y5" i="11" l="1"/>
  <c r="Z5" i="11" l="1"/>
  <c r="AA5" i="11" l="1"/>
  <c r="AB5" i="11" l="1"/>
  <c r="AC5" i="11" l="1"/>
  <c r="AD5" i="11" l="1"/>
  <c r="AE5" i="11" l="1"/>
  <c r="AF5" i="11" l="1"/>
  <c r="AG5" i="11" l="1"/>
</calcChain>
</file>

<file path=xl/sharedStrings.xml><?xml version="1.0" encoding="utf-8"?>
<sst xmlns="http://schemas.openxmlformats.org/spreadsheetml/2006/main" count="162" uniqueCount="160">
  <si>
    <t>TAREA</t>
  </si>
  <si>
    <t>INICIO</t>
  </si>
  <si>
    <t>FIN</t>
  </si>
  <si>
    <t>DÍAS</t>
  </si>
  <si>
    <t>GRÁFICO GANTT SIMPLE de Vertex42.com</t>
  </si>
  <si>
    <t>https://www.vertex42.com/ExcelTemplates/simple-gantt-chart.html</t>
  </si>
  <si>
    <t>Información sobre esta plantilla</t>
  </si>
  <si>
    <t>Esta plantilla proporciona una forma sencilla de crear un diagrama de Gantt para ayudarle a visualizar su proyecto y realizar un seguimiento de este. Simplemente escriba sus tareas y fechas de inicio y finalización, no necesita fórmulas. Las barras del gráfico de Gantt representan la duración de la tarea y se muestran con formato condicional. Para insertar nuevas tareas, inserte filas nuevas.</t>
  </si>
  <si>
    <t>Guía para lectores de pantalla</t>
  </si>
  <si>
    <t>Hay 2 hojas de cálculo en este libro. 
ParteDeHoras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</si>
  <si>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Ayuda adicional</t>
  </si>
  <si>
    <t>Haga clic en el vínculo siguiente para visitar vertex42.com y obtener más información sobre cómo usar esta plantilla, como la forma de calcular los días laborales, crear dependencias de tareas, cambiar los colores de las barras, agregar una barra de desplazamiento para que sea más fácil cambiar la semana que se muestra, ampliar el intervalo de fechas que se muestran en el gráfico, etcétera.</t>
  </si>
  <si>
    <t>Cómo usar el gráfico de Gantt simple</t>
  </si>
  <si>
    <t>Más plantillas de administración de proyectos</t>
  </si>
  <si>
    <t>Visite Vertex42.com para descargar otras plantillas de administración de proyectos, como distintas programaciones de proyectos, diagramas de Gantt, listas de tareas, etcétera.</t>
  </si>
  <si>
    <t>Plantillas de administración de proyectos</t>
  </si>
  <si>
    <t>Información sobre Vertex42</t>
  </si>
  <si>
    <t>Vertex42.com ofrece más de 300 plantillas de hojas de cálculo de diseño profesional para empresas, hogares y centros educativos (la mayoría se puede descargar de forma gratuita). Su colección incluye una amplia variedad de calendarios, planificadores y programaciones, así como hojas de cálculo para las finanzas personales: para la administración de presupuestos, la reducción de deudas y la amortización de préstamos.</t>
  </si>
  <si>
    <t>Las empresas encontrarán plantillas de facturas, partes de horas, informes financieros, planificación de proyectos y plantillas para hacer un seguimiento del inventario. Los profesores y los estudiantes encontrarán recursos como programaciones de clases, libros de calificaciones y hojas de asistencia. Organice su vida familiar con planificadores de comidas, listas y registros de ejercicio. Cada plantilla ha sido cuidadosamente diseñada, perfeccionada y mejorada a lo largo del tiempo gracias a los comentarios de miles de usuarios.</t>
  </si>
  <si>
    <t>YOYAGAMES</t>
  </si>
  <si>
    <t>Miguel Gonzalez Martin</t>
  </si>
  <si>
    <t>R001 - Iniciarse en la app.</t>
  </si>
  <si>
    <t>R001F01 - Lanzar la vista de login/registro.</t>
  </si>
  <si>
    <t>R001F01T01 - Crear el fondo de pantalla.</t>
  </si>
  <si>
    <t>R002 -  Guardar los datos de cada usuario en una base de datos.</t>
  </si>
  <si>
    <t>R002F01 -  Crear la conexión entre la base de datos y la aplicación.</t>
  </si>
  <si>
    <t>R002F01T01 -  Configurar la conexión en el proyecto.</t>
  </si>
  <si>
    <t>R002F01T02 -  Crear la base de datos.</t>
  </si>
  <si>
    <t>R002F01T03 -  Enlazar la base de datos con la aplicación.</t>
  </si>
  <si>
    <t>R002F01T04 -  Crear las tablas correspondientes.</t>
  </si>
  <si>
    <t>R003 -  Registrarse en la app.</t>
  </si>
  <si>
    <t>R003F01 -  Aparezca una interfaz gráfica.</t>
  </si>
  <si>
    <t>R003F01T01 -  Crear el diseño.</t>
  </si>
  <si>
    <t>R003F01T02 -  Utilizar imágenes.</t>
  </si>
  <si>
    <t>R003F02 -  Guardar los datos del usuario en una base de datos.</t>
  </si>
  <si>
    <t>R003F02T01 -  Crear validaciones.</t>
  </si>
  <si>
    <t>R003F02T02 -  Realizar sentencia para guardar los datos.</t>
  </si>
  <si>
    <t>R004 -  Loguearse en la app.</t>
  </si>
  <si>
    <t>R004F01 -  Aparezca una interfaz gráfica.</t>
  </si>
  <si>
    <t>R004F01T01 -  Crear el diseño de la interfaz.</t>
  </si>
  <si>
    <t>R004F01T02 -  Utilizar imágenes.</t>
  </si>
  <si>
    <t>R004F02 -  Validar que el usuario esta en la base de datos.</t>
  </si>
  <si>
    <t>R004F02T01 -  Realizar sentencia para comprobar que el usuario existe.</t>
  </si>
  <si>
    <t>R004F03 -  Dejar la sesión iniciada una vez se logue el usuario.</t>
  </si>
  <si>
    <t>R004F03T01 -  Guardar los datos del usuario.</t>
  </si>
  <si>
    <t>R004F04 -  Pasar a la vista inicial.</t>
  </si>
  <si>
    <t>R004F04T01 -  Configurar el cambio de vista.</t>
  </si>
  <si>
    <t>R005 - CRUD administrador.</t>
  </si>
  <si>
    <t>R005F01 -  Crear una interfaz gráfica administrador.</t>
  </si>
  <si>
    <t>R005F01T01 -  Crear el diseño.</t>
  </si>
  <si>
    <t>R005F01T02 -  Mostrar los datos de los usuarios para el CRUD.</t>
  </si>
  <si>
    <t>R005F02 -  Crear un administrador.</t>
  </si>
  <si>
    <t>R005F02T01 -  Crear un usuario que sea administrador.</t>
  </si>
  <si>
    <t>R005F02T02 -  Configurar el código para que cada vez que el usuario se logue, sea llevado a la interfaz administrador.</t>
  </si>
  <si>
    <t>R005F03 -  Crear el CRUD.</t>
  </si>
  <si>
    <t>R005F03T01 -  Configurar el código para borrar un usuario.</t>
  </si>
  <si>
    <t>R005F03T02 -  Configurar el código para actualizar un usuario.</t>
  </si>
  <si>
    <t>R006 - Acceso a la página o interfaz principal (home).</t>
  </si>
  <si>
    <t>R006F01 -  Aparezca una interfaz gráfica.</t>
  </si>
  <si>
    <t>R006F01T02 -  Utilizar imágenes.</t>
  </si>
  <si>
    <t>R007 -  Logout</t>
  </si>
  <si>
    <t>R007F01 -  Aparezca un botón encargado del logout en el home.</t>
  </si>
  <si>
    <t>R007F01T01 -  Crear el botón.</t>
  </si>
  <si>
    <t>R007F01T02 -  Configurar el codigo.</t>
  </si>
  <si>
    <t>R008 - Carrusel funcional.</t>
  </si>
  <si>
    <t>R008F01 -  Aparezca una foto de cada juego.</t>
  </si>
  <si>
    <t>R008F01T01 -  Buscar imágenes.</t>
  </si>
  <si>
    <t>R008F02 -  Que el carrusel gire automáticamente.</t>
  </si>
  <si>
    <t>R008F02T01 -  Configurar el código del carrusel.</t>
  </si>
  <si>
    <t>R009 - Juego Caballos.</t>
  </si>
  <si>
    <t>R009F01 -  Aparezca una interfaz gráfica.</t>
  </si>
  <si>
    <t>R009F01T01 -  Crear el diseño de la interfaz.</t>
  </si>
  <si>
    <t>R009F01T02 -  Utilizar imágenes.</t>
  </si>
  <si>
    <t>R009F02 -  Interfaz de inicio de juego.</t>
  </si>
  <si>
    <t xml:space="preserve">R009F02T01 -  Crear el diseño de la interfaz. </t>
  </si>
  <si>
    <t>R009F02T02 -  Utilizar imágenes.</t>
  </si>
  <si>
    <t>R009F02T03 -  Configurar la cuenta atrás.</t>
  </si>
  <si>
    <t>R009F03 -  Implementar las funcionalidades del minijuego.</t>
  </si>
  <si>
    <t>R009F03T01 -  Configurar el código de los botones.</t>
  </si>
  <si>
    <t>R009F04 -  Aparece interfaz fin de juego-</t>
  </si>
  <si>
    <t>R009F04T01 -  Configurar la opción para volver a jugar.</t>
  </si>
  <si>
    <t>R009F04T02 -  Configurar la opción de volver al inicio.</t>
  </si>
  <si>
    <t>R010 - Juego Parejas.</t>
  </si>
  <si>
    <t xml:space="preserve">	R010F01 -  Aparezca una interfaz gráfica.</t>
  </si>
  <si>
    <t xml:space="preserve">		R010F01T01 -  Crear el diseño de la interfaz.</t>
  </si>
  <si>
    <t xml:space="preserve">		R010F01T02 -  Utilizar imágenes.</t>
  </si>
  <si>
    <t>R010F02 -  Implementar las funcionalidades del minijuego.</t>
  </si>
  <si>
    <t>R010F02T01 -  Configurar los botones para que aparezcan las imágenes al pulsar.</t>
  </si>
  <si>
    <t xml:space="preserve">		R010F02T02 -  Configurar las parejas.</t>
  </si>
  <si>
    <t xml:space="preserve">		R010F02T03 -  Implementar sonidos.</t>
  </si>
  <si>
    <t xml:space="preserve">	R010F03 -  Aparece interfaz fin de juego-</t>
  </si>
  <si>
    <t xml:space="preserve">		R010F03T01 -  Configurar la opción para volver a jugar.</t>
  </si>
  <si>
    <t xml:space="preserve">		R010F03T02 -  Configurar la opción de volver al inicio.</t>
  </si>
  <si>
    <t xml:space="preserve">R011 - Juego Temporizador. </t>
  </si>
  <si>
    <t xml:space="preserve">	R011F01 -  Aparezca una interfaz gráfica.</t>
  </si>
  <si>
    <t xml:space="preserve">		R011F01T01 -  Crear el diseño de la interfaz.</t>
  </si>
  <si>
    <t xml:space="preserve">		R011F01T02 -  Utilizar imágenes.</t>
  </si>
  <si>
    <t xml:space="preserve">	R011F02 -  Interfaz de inicio de juego.</t>
  </si>
  <si>
    <t xml:space="preserve">		R011F02T01 -  Crear el diseño de la interfaz. </t>
  </si>
  <si>
    <t xml:space="preserve">		R011F02T02 -  Utilizar imágenes.</t>
  </si>
  <si>
    <t xml:space="preserve">		R011F02T03 -  Configurar la cuenta atrás.</t>
  </si>
  <si>
    <t>R011F03 -  Implementar las funcionalidades del minijuego.</t>
  </si>
  <si>
    <t xml:space="preserve">	R011F03T01 -  Crear la clase temporizador.</t>
  </si>
  <si>
    <t>R011F03T02 -  Crear un hilo Daemon para sacar la vista de fin de juego.</t>
  </si>
  <si>
    <t xml:space="preserve">	R011F04 -  Aparece interfaz fin de juego-</t>
  </si>
  <si>
    <t xml:space="preserve">		R011F04T01 -  Configurar la opción para volver a jugar.</t>
  </si>
  <si>
    <t xml:space="preserve">		R011F04T02 -  Configurar la opción de volver al inicio.</t>
  </si>
  <si>
    <t>R012 - Juego Blackjack.</t>
  </si>
  <si>
    <t xml:space="preserve">	R012F01 -  Aparezca una interfaz gráfica.</t>
  </si>
  <si>
    <t xml:space="preserve">		R012F01T01 -  Crear el diseño de la interfaz.</t>
  </si>
  <si>
    <t xml:space="preserve">		R012F01T02 -  Utilizar imágenes.</t>
  </si>
  <si>
    <t xml:space="preserve">	R012F02 -  Interfaz de inicio de juego.</t>
  </si>
  <si>
    <t xml:space="preserve">		R012F02T01 -  Crear el diseño de la interfaz. </t>
  </si>
  <si>
    <t xml:space="preserve">		R012F02T02 -  Utilizar imágenes.</t>
  </si>
  <si>
    <t xml:space="preserve">		R012F02T03 -  Configurar la cuenta atrás.</t>
  </si>
  <si>
    <t xml:space="preserve">	R012F03 -  Implementar las funcionalidades del minijuego.</t>
  </si>
  <si>
    <t xml:space="preserve">		R012F03T01 -  Crear las cartas con su valor correspondiente.</t>
  </si>
  <si>
    <t xml:space="preserve">		R012F03T02 -  Crear el botón para robar carta.</t>
  </si>
  <si>
    <t xml:space="preserve">		R012F03T03 -  Crear el botón de pasar turno.</t>
  </si>
  <si>
    <t xml:space="preserve">	R012F04 -  Uso de API.</t>
  </si>
  <si>
    <t xml:space="preserve">		R012F04T01 -  Configurar el código para conectar con la API.</t>
  </si>
  <si>
    <t xml:space="preserve">	R012F05 -  Aparece interfaz fin de juego-</t>
  </si>
  <si>
    <t xml:space="preserve">		R012F05T02 -  Configurar la opción de volver al inicio.</t>
  </si>
  <si>
    <t xml:space="preserve">		R012F05T01 -  Configurar la opción para volver a jugar.</t>
  </si>
  <si>
    <t>R013 - Juego Mates.</t>
  </si>
  <si>
    <t xml:space="preserve">	R013F01 -  Aparezca una interfaz gráfica.</t>
  </si>
  <si>
    <t xml:space="preserve">		R013F01T01 -  Crear el diseño de la interfaz.</t>
  </si>
  <si>
    <t xml:space="preserve">		R013F01T02 -  Utilizar imágenes.</t>
  </si>
  <si>
    <t xml:space="preserve">	R013F02 -  Interfaz de inicio de juego.</t>
  </si>
  <si>
    <t xml:space="preserve">		R013F02T01 -  Crear el diseño de la interfaz. </t>
  </si>
  <si>
    <t xml:space="preserve">		R013F02T02 -  Utilizar imágenes.</t>
  </si>
  <si>
    <t xml:space="preserve">		R013F02T03 -  Configurar la cuenta atrás.</t>
  </si>
  <si>
    <t>R013F03 -  Implementar las funcionalidades del minijuego.</t>
  </si>
  <si>
    <t xml:space="preserve">	R013F03T01 -  Crear las operaciones.</t>
  </si>
  <si>
    <t xml:space="preserve">		R013F03T02 -  Configurar las soluciones.</t>
  </si>
  <si>
    <t xml:space="preserve">	R013F04 -  Aparece interfaz fin de juego-</t>
  </si>
  <si>
    <t xml:space="preserve">		R013F04T01 -  Configurar la opción para volver a jugar.</t>
  </si>
  <si>
    <t xml:space="preserve">		R013F04T02 -  Configurar la opción de volver al inicio.</t>
  </si>
  <si>
    <t>R014 - Juego Damas.</t>
  </si>
  <si>
    <t xml:space="preserve">	R014F01 -  Aparezca una interfaz gráfica.</t>
  </si>
  <si>
    <t xml:space="preserve">		R014F01T01 -  Crear el diseño de la interfaz.</t>
  </si>
  <si>
    <t xml:space="preserve">		R014F01T02 -  Utilizar imágenes.</t>
  </si>
  <si>
    <t>R014F02 -  Implementar las funcionalidades del minijuego.</t>
  </si>
  <si>
    <t xml:space="preserve">	R014F02T01 -  Movimiento de las fichas.</t>
  </si>
  <si>
    <t xml:space="preserve">		R014F02T02 -  Casillas del tablero.</t>
  </si>
  <si>
    <t xml:space="preserve">	R014F03 -  Aparece interfaz fin de juego-</t>
  </si>
  <si>
    <t xml:space="preserve">		R014F03T01 -  Configurar la opción para volver a jugar.</t>
  </si>
  <si>
    <t xml:space="preserve">		R014F03T02 -  Configurar la opción de volver al inicio.</t>
  </si>
  <si>
    <t>R015 - Usuario capaz de gestionar su perfil.</t>
  </si>
  <si>
    <t xml:space="preserve">	R015F01 -  Aparezca una interfaz gráfica.</t>
  </si>
  <si>
    <t xml:space="preserve">		R015F01T01 -  Crear el diseño de la interfaz.</t>
  </si>
  <si>
    <t xml:space="preserve">		R015F01T02 -  Utilizar imágenes.</t>
  </si>
  <si>
    <t xml:space="preserve">		R015F01T03 -  Mostrar los datos del usuario.</t>
  </si>
  <si>
    <t>R015F02 -  Implementar funcionalidades.</t>
  </si>
  <si>
    <t>R015F02T01 -  Configurar el código para poder hacer un update al usuario.</t>
  </si>
  <si>
    <t>R015F02T02 -  Configurar el código para que el usuario pueda borrar su cuenta.</t>
  </si>
  <si>
    <t xml:space="preserve">		R015F02T03 -  Crear una interfaz para borrar la cuenta.</t>
  </si>
  <si>
    <t>R001</t>
  </si>
  <si>
    <t>R001F01</t>
  </si>
  <si>
    <t>Duracion en minutos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</si>
</sst>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ddd\,\ m/d/yyyy"/>
    <numFmt numFmtId="167" formatCode="[$-C0A]d\ &quot;de&quot;\ mmmm\ &quot;de&quot;\ yyyy;@"/>
    <numFmt numFmtId="168" formatCode="d\-m\-yy;@"/>
    <numFmt numFmtId="169" formatCode="d"/>
  </numFmts>
  <fonts count="32"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4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20">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medium">
        <color theme="0" tint="-0.14996795556505021"/>
      </top>
      <bottom/>
      <diagonal/>
    </border>
    <border>
      <left/>
      <right/>
      <top/>
      <bottom style="medium">
        <color theme="0" tint="-0.14996795556505021"/>
      </bottom>
      <diagonal/>
    </border>
    <border>
      <left style="thin">
        <color indexed="64"/>
      </left>
      <right/>
      <top style="thin">
        <color indexed="64"/>
      </top>
      <bottom style="thin">
        <color indexed="64"/>
      </bottom>
      <diagonal/>
    </border>
  </borders>
  <cellStyleXfs count="54">
    <xf numFmtId="0" fontId="0" fillId="0" borderId="0"/>
    <xf numFmtId="0" fontId="3" fillId="0" borderId="0" applyNumberFormat="0" applyFill="0" applyBorder="0" applyAlignment="0" applyProtection="0">
      <alignment vertical="top"/>
      <protection locked="0"/>
    </xf>
    <xf numFmtId="9" fontId="7" fillId="0" borderId="0" applyFont="0" applyFill="0" applyBorder="0" applyAlignment="0" applyProtection="0"/>
    <xf numFmtId="0" fontId="18" fillId="0" borderId="0"/>
    <xf numFmtId="165" fontId="7" fillId="0" borderId="3" applyFont="0" applyFill="0" applyAlignment="0" applyProtection="0"/>
    <xf numFmtId="0" fontId="11"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7" fillId="0" borderId="0" applyNumberFormat="0" applyFill="0" applyProtection="0">
      <alignment horizontal="right" indent="1"/>
    </xf>
    <xf numFmtId="166" fontId="7" fillId="0" borderId="3">
      <alignment horizontal="center" vertical="center"/>
    </xf>
    <xf numFmtId="168" fontId="7" fillId="0" borderId="2" applyFill="0">
      <alignment horizontal="center" vertical="center"/>
    </xf>
    <xf numFmtId="0" fontId="7" fillId="0" borderId="2" applyFill="0">
      <alignment horizontal="center" vertical="center"/>
    </xf>
    <xf numFmtId="0" fontId="7" fillId="0" borderId="2" applyFill="0">
      <alignment horizontal="left" vertical="center" indent="2"/>
    </xf>
    <xf numFmtId="0" fontId="20" fillId="0" borderId="0" applyNumberFormat="0" applyFill="0" applyBorder="0" applyAlignment="0" applyProtection="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0" fontId="21" fillId="0" borderId="0" applyNumberFormat="0" applyFill="0" applyBorder="0" applyAlignment="0" applyProtection="0"/>
    <xf numFmtId="0" fontId="22" fillId="13" borderId="0" applyNumberFormat="0" applyBorder="0" applyAlignment="0" applyProtection="0"/>
    <xf numFmtId="0" fontId="23" fillId="14" borderId="0" applyNumberFormat="0" applyBorder="0" applyAlignment="0" applyProtection="0"/>
    <xf numFmtId="0" fontId="24" fillId="15" borderId="0" applyNumberFormat="0" applyBorder="0" applyAlignment="0" applyProtection="0"/>
    <xf numFmtId="0" fontId="25" fillId="16" borderId="10" applyNumberFormat="0" applyAlignment="0" applyProtection="0"/>
    <xf numFmtId="0" fontId="26" fillId="17" borderId="11" applyNumberFormat="0" applyAlignment="0" applyProtection="0"/>
    <xf numFmtId="0" fontId="27" fillId="17" borderId="10" applyNumberFormat="0" applyAlignment="0" applyProtection="0"/>
    <xf numFmtId="0" fontId="28" fillId="0" borderId="12" applyNumberFormat="0" applyFill="0" applyAlignment="0" applyProtection="0"/>
    <xf numFmtId="0" fontId="29" fillId="18" borderId="13" applyNumberFormat="0" applyAlignment="0" applyProtection="0"/>
    <xf numFmtId="0" fontId="30" fillId="0" borderId="0" applyNumberFormat="0" applyFill="0" applyBorder="0" applyAlignment="0" applyProtection="0"/>
    <xf numFmtId="0" fontId="7" fillId="19" borderId="14" applyNumberFormat="0" applyFont="0" applyAlignment="0" applyProtection="0"/>
    <xf numFmtId="0" fontId="31" fillId="0" borderId="0" applyNumberFormat="0" applyFill="0" applyBorder="0" applyAlignment="0" applyProtection="0"/>
    <xf numFmtId="0" fontId="5" fillId="0" borderId="15" applyNumberFormat="0" applyFill="0" applyAlignment="0" applyProtection="0"/>
    <xf numFmtId="0" fontId="18"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18" fillId="24"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18"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18"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5" borderId="0" applyNumberFormat="0" applyBorder="0" applyAlignment="0" applyProtection="0"/>
    <xf numFmtId="0" fontId="18" fillId="36"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18" fillId="40" borderId="0" applyNumberFormat="0" applyBorder="0" applyAlignment="0" applyProtection="0"/>
    <xf numFmtId="0" fontId="7" fillId="41"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cellStyleXfs>
  <cellXfs count="75">
    <xf numFmtId="0" fontId="0" fillId="0" borderId="0" xfId="0"/>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3" xfId="0" applyBorder="1" applyAlignment="1">
      <alignment horizontal="center" vertical="center"/>
    </xf>
    <xf numFmtId="0" fontId="6" fillId="12" borderId="1" xfId="0" applyFont="1" applyFill="1" applyBorder="1" applyAlignment="1">
      <alignment horizontal="center" vertical="center" wrapText="1"/>
    </xf>
    <xf numFmtId="0" fontId="10" fillId="11" borderId="8" xfId="0" applyFont="1" applyFill="1" applyBorder="1" applyAlignment="1">
      <alignment horizontal="center" vertical="center" shrinkToFit="1"/>
    </xf>
    <xf numFmtId="0" fontId="4" fillId="0" borderId="2" xfId="0" applyFont="1" applyBorder="1" applyAlignment="1">
      <alignment horizontal="center" vertical="center"/>
    </xf>
    <xf numFmtId="0" fontId="2" fillId="0" borderId="0" xfId="0" applyFont="1" applyAlignment="1">
      <alignment horizontal="center" vertical="center"/>
    </xf>
    <xf numFmtId="0" fontId="2" fillId="0" borderId="0" xfId="0" applyFont="1" applyAlignment="1">
      <alignment vertical="top"/>
    </xf>
    <xf numFmtId="0" fontId="12" fillId="0" borderId="0" xfId="0" applyFont="1" applyAlignment="1">
      <alignment horizontal="left" vertical="center"/>
    </xf>
    <xf numFmtId="0" fontId="13" fillId="0" borderId="0" xfId="0" applyFont="1" applyAlignment="1">
      <alignment horizontal="left" vertical="center"/>
    </xf>
    <xf numFmtId="0" fontId="15" fillId="0" borderId="0" xfId="0" applyFont="1"/>
    <xf numFmtId="0" fontId="17" fillId="0" borderId="0" xfId="0" applyFont="1" applyAlignment="1">
      <alignment vertical="center"/>
    </xf>
    <xf numFmtId="0" fontId="16" fillId="0" borderId="0" xfId="0" applyFont="1" applyAlignment="1">
      <alignment horizontal="left" vertical="top" wrapText="1" indent="1"/>
    </xf>
    <xf numFmtId="0" fontId="2" fillId="0" borderId="0" xfId="0" applyFont="1" applyAlignment="1">
      <alignment horizontal="left" vertical="top"/>
    </xf>
    <xf numFmtId="0" fontId="14"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0" fillId="0" borderId="0" xfId="0" applyAlignment="1">
      <alignment wrapText="1"/>
    </xf>
    <xf numFmtId="0" fontId="0" fillId="0" borderId="9" xfId="0" applyBorder="1"/>
    <xf numFmtId="0" fontId="19" fillId="0" borderId="0" xfId="0" applyFont="1"/>
    <xf numFmtId="0" fontId="4" fillId="0" borderId="0" xfId="0" applyFont="1" applyAlignment="1">
      <alignment vertical="top"/>
    </xf>
    <xf numFmtId="168" fontId="0" fillId="7" borderId="2" xfId="0" applyNumberFormat="1" applyFill="1" applyBorder="1" applyAlignment="1">
      <alignment horizontal="center" vertical="center"/>
    </xf>
    <xf numFmtId="168" fontId="4" fillId="7" borderId="2" xfId="0" applyNumberFormat="1" applyFont="1" applyFill="1" applyBorder="1" applyAlignment="1">
      <alignment horizontal="center" vertical="center"/>
    </xf>
    <xf numFmtId="168" fontId="0" fillId="8" borderId="2" xfId="0" applyNumberFormat="1" applyFill="1" applyBorder="1" applyAlignment="1">
      <alignment horizontal="center" vertical="center"/>
    </xf>
    <xf numFmtId="168" fontId="4" fillId="8" borderId="2" xfId="0" applyNumberFormat="1" applyFont="1" applyFill="1" applyBorder="1" applyAlignment="1">
      <alignment horizontal="center" vertical="center"/>
    </xf>
    <xf numFmtId="168" fontId="0" fillId="5" borderId="2" xfId="0" applyNumberFormat="1" applyFill="1" applyBorder="1" applyAlignment="1">
      <alignment horizontal="center" vertical="center"/>
    </xf>
    <xf numFmtId="168" fontId="4" fillId="5" borderId="2" xfId="0" applyNumberFormat="1" applyFont="1" applyFill="1" applyBorder="1" applyAlignment="1">
      <alignment horizontal="center" vertical="center"/>
    </xf>
    <xf numFmtId="168" fontId="7" fillId="10" borderId="2" xfId="10" applyFill="1">
      <alignment horizontal="center" vertical="center"/>
    </xf>
    <xf numFmtId="168" fontId="0" fillId="4" borderId="2" xfId="0" applyNumberFormat="1" applyFill="1" applyBorder="1" applyAlignment="1">
      <alignment horizontal="center" vertical="center"/>
    </xf>
    <xf numFmtId="168" fontId="4" fillId="4" borderId="2" xfId="0" applyNumberFormat="1" applyFont="1" applyFill="1" applyBorder="1" applyAlignment="1">
      <alignment horizontal="center" vertical="center"/>
    </xf>
    <xf numFmtId="169" fontId="9" fillId="6" borderId="6" xfId="0" applyNumberFormat="1" applyFont="1" applyFill="1" applyBorder="1" applyAlignment="1">
      <alignment horizontal="center" vertical="center"/>
    </xf>
    <xf numFmtId="169" fontId="9" fillId="6" borderId="0" xfId="0" applyNumberFormat="1" applyFont="1" applyFill="1" applyAlignment="1">
      <alignment horizontal="center" vertical="center"/>
    </xf>
    <xf numFmtId="169" fontId="9" fillId="6" borderId="7" xfId="0" applyNumberFormat="1" applyFont="1" applyFill="1" applyBorder="1" applyAlignment="1">
      <alignment horizontal="center" vertical="center"/>
    </xf>
    <xf numFmtId="168" fontId="7" fillId="2" borderId="2" xfId="10" applyFill="1">
      <alignment horizontal="center" vertical="center"/>
    </xf>
    <xf numFmtId="168" fontId="7" fillId="3" borderId="2" xfId="10" applyFill="1">
      <alignment horizontal="center" vertical="center"/>
    </xf>
    <xf numFmtId="168" fontId="7" fillId="9" borderId="2" xfId="10" applyFill="1">
      <alignment horizontal="center" vertical="center"/>
    </xf>
    <xf numFmtId="167" fontId="0" fillId="6" borderId="4" xfId="0" applyNumberFormat="1" applyFill="1" applyBorder="1" applyAlignment="1">
      <alignment horizontal="left" vertical="center" wrapText="1" indent="1"/>
    </xf>
    <xf numFmtId="167" fontId="0" fillId="6" borderId="1" xfId="0" applyNumberFormat="1" applyFill="1" applyBorder="1" applyAlignment="1">
      <alignment horizontal="left" vertical="center" wrapText="1" indent="1"/>
    </xf>
    <xf numFmtId="167" fontId="0" fillId="6" borderId="5" xfId="0" applyNumberFormat="1" applyFill="1" applyBorder="1" applyAlignment="1">
      <alignment horizontal="left" vertical="center" wrapText="1" indent="1"/>
    </xf>
    <xf numFmtId="0" fontId="11" fillId="0" borderId="0" xfId="5" applyAlignment="1">
      <alignment horizontal="left" wrapText="1"/>
    </xf>
    <xf numFmtId="0" fontId="8" fillId="0" borderId="0" xfId="7" applyAlignment="1">
      <alignment vertical="top" wrapText="1"/>
    </xf>
    <xf numFmtId="0" fontId="0" fillId="0" borderId="9" xfId="0" applyBorder="1" applyAlignment="1">
      <alignment wrapText="1"/>
    </xf>
    <xf numFmtId="0" fontId="6" fillId="12" borderId="1" xfId="0" applyFont="1" applyFill="1" applyBorder="1" applyAlignment="1">
      <alignment horizontal="left" vertical="center" wrapText="1"/>
    </xf>
    <xf numFmtId="0" fontId="5" fillId="7" borderId="2" xfId="0" applyFont="1" applyFill="1" applyBorder="1" applyAlignment="1">
      <alignment horizontal="left" vertical="center" wrapText="1"/>
    </xf>
    <xf numFmtId="0" fontId="7" fillId="2" borderId="2" xfId="12" applyFill="1" applyAlignment="1">
      <alignment horizontal="left" vertical="center" wrapText="1"/>
    </xf>
    <xf numFmtId="0" fontId="5" fillId="8" borderId="2" xfId="0" applyFont="1" applyFill="1" applyBorder="1" applyAlignment="1">
      <alignment horizontal="left" vertical="center" wrapText="1"/>
    </xf>
    <xf numFmtId="0" fontId="7" fillId="3" borderId="2" xfId="12" applyFill="1" applyAlignment="1">
      <alignment horizontal="left" vertical="center" wrapText="1"/>
    </xf>
    <xf numFmtId="0" fontId="5" fillId="5" borderId="2" xfId="0" applyFont="1" applyFill="1" applyBorder="1" applyAlignment="1">
      <alignment horizontal="left" vertical="center" wrapText="1"/>
    </xf>
    <xf numFmtId="0" fontId="7" fillId="10" borderId="2" xfId="12" applyFill="1" applyAlignment="1">
      <alignment horizontal="left" vertical="center" wrapText="1"/>
    </xf>
    <xf numFmtId="0" fontId="5" fillId="4" borderId="2" xfId="0" applyFont="1" applyFill="1" applyBorder="1" applyAlignment="1">
      <alignment horizontal="left" vertical="center" wrapText="1"/>
    </xf>
    <xf numFmtId="0" fontId="7" fillId="9" borderId="2" xfId="12" applyFill="1" applyAlignment="1">
      <alignment horizontal="left" vertical="center" wrapText="1"/>
    </xf>
    <xf numFmtId="0" fontId="4" fillId="0" borderId="0"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0" fillId="0" borderId="16" xfId="0" applyBorder="1" applyAlignment="1">
      <alignment vertical="center"/>
    </xf>
    <xf numFmtId="0" fontId="4" fillId="0" borderId="19" xfId="0" applyFont="1" applyBorder="1" applyAlignment="1">
      <alignment horizontal="center" vertical="center"/>
    </xf>
    <xf numFmtId="0" fontId="0" fillId="0" borderId="16" xfId="0" applyBorder="1" applyAlignment="1">
      <alignment horizontal="right" vertical="center"/>
    </xf>
    <xf numFmtId="0" fontId="0" fillId="44" borderId="16" xfId="0" applyFill="1" applyBorder="1" applyAlignment="1">
      <alignment vertical="center"/>
    </xf>
    <xf numFmtId="4" fontId="1" fillId="0" borderId="0" xfId="0" applyNumberFormat="1" applyFont="1" applyAlignment="1">
      <alignment horizontal="left"/>
    </xf>
    <xf numFmtId="4" fontId="7" fillId="0" borderId="0" xfId="8" applyNumberFormat="1">
      <alignment horizontal="right" indent="1"/>
    </xf>
    <xf numFmtId="4" fontId="0" fillId="0" borderId="9" xfId="0" applyNumberFormat="1" applyBorder="1"/>
    <xf numFmtId="4" fontId="6" fillId="12" borderId="1" xfId="0" applyNumberFormat="1" applyFont="1" applyFill="1" applyBorder="1" applyAlignment="1">
      <alignment horizontal="center" vertical="center" wrapText="1"/>
    </xf>
    <xf numFmtId="4" fontId="7" fillId="2" borderId="2" xfId="11" applyNumberFormat="1" applyFill="1">
      <alignment horizontal="center" vertical="center"/>
    </xf>
    <xf numFmtId="4" fontId="7" fillId="3" borderId="2" xfId="11" applyNumberFormat="1" applyFill="1">
      <alignment horizontal="center" vertical="center"/>
    </xf>
    <xf numFmtId="4" fontId="7" fillId="10" borderId="2" xfId="11" applyNumberFormat="1" applyFill="1">
      <alignment horizontal="center" vertical="center"/>
    </xf>
    <xf numFmtId="4" fontId="7" fillId="9" borderId="2" xfId="11" applyNumberFormat="1" applyFill="1">
      <alignment horizontal="center" vertical="center"/>
    </xf>
    <xf numFmtId="4" fontId="0" fillId="0" borderId="0" xfId="0" applyNumberFormat="1"/>
    <xf numFmtId="166" fontId="18" fillId="0" borderId="3" xfId="9" applyFont="1">
      <alignment horizontal="center" vertical="center"/>
    </xf>
    <xf numFmtId="4" fontId="5" fillId="7" borderId="2" xfId="11" applyNumberFormat="1" applyFont="1" applyFill="1">
      <alignment horizontal="center" vertical="center"/>
    </xf>
    <xf numFmtId="4" fontId="5" fillId="8" borderId="2" xfId="11" applyNumberFormat="1" applyFont="1" applyFill="1">
      <alignment horizontal="center" vertical="center"/>
    </xf>
    <xf numFmtId="4" fontId="5" fillId="5" borderId="2" xfId="11" applyNumberFormat="1" applyFont="1" applyFill="1">
      <alignment horizontal="center" vertical="center"/>
    </xf>
    <xf numFmtId="4" fontId="5" fillId="4" borderId="2" xfId="11" applyNumberFormat="1" applyFont="1" applyFill="1">
      <alignment horizontal="center" vertical="center"/>
    </xf>
  </cellXfs>
  <cellStyles count="54">
    <cellStyle name="20% - Énfasis1" xfId="31" builtinId="30" customBuiltin="1"/>
    <cellStyle name="20% - Énfasis2" xfId="35" builtinId="34" customBuiltin="1"/>
    <cellStyle name="20% - Énfasis3" xfId="39" builtinId="38" customBuiltin="1"/>
    <cellStyle name="20% - Énfasis4" xfId="43" builtinId="42" customBuiltin="1"/>
    <cellStyle name="20% - Énfasis5" xfId="47" builtinId="46" customBuiltin="1"/>
    <cellStyle name="20% - Énfasis6" xfId="51" builtinId="50" customBuiltin="1"/>
    <cellStyle name="40% - Énfasis1" xfId="32" builtinId="31" customBuiltin="1"/>
    <cellStyle name="40% - Énfasis2" xfId="36" builtinId="35" customBuiltin="1"/>
    <cellStyle name="40% - Énfasis3" xfId="40" builtinId="39" customBuiltin="1"/>
    <cellStyle name="40% - Énfasis4" xfId="44" builtinId="43" customBuiltin="1"/>
    <cellStyle name="40% - Énfasis5" xfId="48" builtinId="47" customBuiltin="1"/>
    <cellStyle name="40% - Énfasis6" xfId="52" builtinId="51" customBuiltin="1"/>
    <cellStyle name="60% - Énfasis1" xfId="33" builtinId="32" customBuiltin="1"/>
    <cellStyle name="60% - Énfasis2" xfId="37" builtinId="36" customBuiltin="1"/>
    <cellStyle name="60% - Énfasis3" xfId="41" builtinId="40" customBuiltin="1"/>
    <cellStyle name="60% - Énfasis4" xfId="45" builtinId="44" customBuiltin="1"/>
    <cellStyle name="60% - Énfasis5" xfId="49" builtinId="48" customBuiltin="1"/>
    <cellStyle name="60% - Énfasis6" xfId="53" builtinId="52" customBuiltin="1"/>
    <cellStyle name="Bueno" xfId="18" builtinId="26" customBuiltin="1"/>
    <cellStyle name="Cálculo" xfId="23" builtinId="22" customBuiltin="1"/>
    <cellStyle name="Celda de comprobación" xfId="25" builtinId="23" customBuiltin="1"/>
    <cellStyle name="Celda vinculada" xfId="24" builtinId="24" customBuiltin="1"/>
    <cellStyle name="Encabezado 1" xfId="6" builtinId="16" customBuiltin="1"/>
    <cellStyle name="Encabezado 4" xfId="17" builtinId="19" customBuiltin="1"/>
    <cellStyle name="Énfasis1" xfId="30" builtinId="29" customBuiltin="1"/>
    <cellStyle name="Énfasis2" xfId="34" builtinId="33" customBuiltin="1"/>
    <cellStyle name="Énfasis3" xfId="38" builtinId="37" customBuiltin="1"/>
    <cellStyle name="Énfasis4" xfId="42" builtinId="41" customBuiltin="1"/>
    <cellStyle name="Énfasis5" xfId="46" builtinId="45" customBuiltin="1"/>
    <cellStyle name="Énfasis6" xfId="50" builtinId="49" customBuiltin="1"/>
    <cellStyle name="Entrada" xfId="21" builtinId="20" customBuiltin="1"/>
    <cellStyle name="Fecha" xfId="10" xr:uid="{229918B6-DD13-4F5A-97B9-305F7E002AA3}"/>
    <cellStyle name="Hipervínculo" xfId="1" builtinId="8" customBuiltin="1"/>
    <cellStyle name="Hipervínculo visitado" xfId="13" builtinId="9" customBuiltin="1"/>
    <cellStyle name="Incorrecto" xfId="19" builtinId="27" customBuiltin="1"/>
    <cellStyle name="Inicio del proyecto" xfId="9" xr:uid="{8EB8A09A-C31C-40A3-B2C1-9449520178B8}"/>
    <cellStyle name="Millares" xfId="4" builtinId="3" customBuiltin="1"/>
    <cellStyle name="Millares [0]" xfId="14" builtinId="6" customBuiltin="1"/>
    <cellStyle name="Moneda" xfId="15" builtinId="4" customBuiltin="1"/>
    <cellStyle name="Moneda [0]" xfId="16" builtinId="7" customBuiltin="1"/>
    <cellStyle name="Neutral" xfId="20" builtinId="28" customBuiltin="1"/>
    <cellStyle name="Nombre" xfId="11" xr:uid="{B2D3C1EE-6B41-4801-AAFC-C2274E49E503}"/>
    <cellStyle name="Normal" xfId="0" builtinId="0" customBuiltin="1"/>
    <cellStyle name="Notas" xfId="27" builtinId="10" customBuiltin="1"/>
    <cellStyle name="Porcentaje" xfId="2" builtinId="5" customBuiltin="1"/>
    <cellStyle name="Salida" xfId="22" builtinId="21" customBuiltin="1"/>
    <cellStyle name="Tarea" xfId="12" xr:uid="{6391D789-272B-4DD2-9BF3-2CDCF610FA41}"/>
    <cellStyle name="Texto de advertencia" xfId="26" builtinId="11" customBuiltin="1"/>
    <cellStyle name="Texto explicativo" xfId="28" builtinId="53" customBuiltin="1"/>
    <cellStyle name="Título" xfId="5" builtinId="15" customBuiltin="1"/>
    <cellStyle name="Título 2" xfId="7" builtinId="17" customBuiltin="1"/>
    <cellStyle name="Título 3" xfId="8" builtinId="18" customBuiltin="1"/>
    <cellStyle name="Total" xfId="29" builtinId="25" customBuiltin="1"/>
    <cellStyle name="zTextoOculto" xfId="3" xr:uid="{26E66EE6-E33F-4D77-BAE4-0FB4F5BBF673}"/>
  </cellStyles>
  <dxfs count="15">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ListaTareasPendientes" pivot="0" count="9" xr9:uid="{00000000-0011-0000-FFFF-FFFF00000000}">
      <tableStyleElement type="wholeTable" dxfId="14"/>
      <tableStyleElement type="headerRow" dxfId="13"/>
      <tableStyleElement type="totalRow" dxfId="12"/>
      <tableStyleElement type="firstColumn" dxfId="11"/>
      <tableStyleElement type="lastColumn" dxfId="10"/>
      <tableStyleElement type="firstRowStripe" dxfId="9"/>
      <tableStyleElement type="secondRowStripe" dxfId="8"/>
      <tableStyleElement type="firstColumnStripe" dxfId="7"/>
      <tableStyleElement type="secondColumnStripe" dxfId="6"/>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Imagen 1" descr="Logotipo de Vertex42">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G141"/>
  <sheetViews>
    <sheetView showGridLines="0" tabSelected="1" showRuler="0" zoomScaleNormal="100" zoomScalePageLayoutView="70" workbookViewId="0">
      <pane ySplit="5" topLeftCell="A137" activePane="bottomLeft" state="frozen"/>
      <selection pane="bottomLeft" activeCell="B10" sqref="B10"/>
    </sheetView>
  </sheetViews>
  <sheetFormatPr baseColWidth="10" defaultColWidth="9.109375" defaultRowHeight="30" customHeight="1" x14ac:dyDescent="0.3"/>
  <cols>
    <col min="1" max="1" width="56.6640625" style="20" customWidth="1"/>
    <col min="2" max="2" width="12.88671875" style="69" customWidth="1"/>
    <col min="3" max="3" width="10.44140625" style="4" customWidth="1"/>
    <col min="4" max="4" width="10.44140625" customWidth="1"/>
    <col min="5" max="5" width="9.44140625" hidden="1" customWidth="1"/>
    <col min="6" max="33" width="3.33203125" customWidth="1"/>
    <col min="34" max="35" width="10.33203125"/>
  </cols>
  <sheetData>
    <row r="1" spans="1:33" ht="25.2" customHeight="1" x14ac:dyDescent="0.55000000000000004">
      <c r="A1" s="42" t="s">
        <v>19</v>
      </c>
      <c r="B1" s="61"/>
      <c r="C1" s="3"/>
      <c r="D1" s="9"/>
      <c r="E1" s="1"/>
      <c r="F1" s="22"/>
    </row>
    <row r="2" spans="1:33" ht="19.2" customHeight="1" x14ac:dyDescent="0.3">
      <c r="A2" s="43" t="s">
        <v>20</v>
      </c>
      <c r="B2" s="62"/>
      <c r="C2" s="70">
        <v>45432</v>
      </c>
      <c r="D2" s="70"/>
    </row>
    <row r="3" spans="1:33" ht="15" customHeight="1" x14ac:dyDescent="0.3">
      <c r="B3" s="62"/>
      <c r="C3" s="5"/>
      <c r="F3" s="39">
        <f>F4</f>
        <v>45425</v>
      </c>
      <c r="G3" s="40"/>
      <c r="H3" s="40"/>
      <c r="I3" s="40"/>
      <c r="J3" s="40"/>
      <c r="K3" s="40"/>
      <c r="L3" s="41"/>
      <c r="M3" s="39">
        <f>M4</f>
        <v>45432</v>
      </c>
      <c r="N3" s="40"/>
      <c r="O3" s="40"/>
      <c r="P3" s="40"/>
      <c r="Q3" s="40"/>
      <c r="R3" s="40"/>
      <c r="S3" s="41"/>
      <c r="T3" s="39">
        <f>T4</f>
        <v>45439</v>
      </c>
      <c r="U3" s="40"/>
      <c r="V3" s="40"/>
      <c r="W3" s="40"/>
      <c r="X3" s="40"/>
      <c r="Y3" s="40"/>
      <c r="Z3" s="41"/>
      <c r="AA3" s="39">
        <f>AA4</f>
        <v>45446</v>
      </c>
      <c r="AB3" s="40"/>
      <c r="AC3" s="40"/>
      <c r="AD3" s="40"/>
      <c r="AE3" s="40"/>
      <c r="AF3" s="40"/>
      <c r="AG3" s="41"/>
    </row>
    <row r="4" spans="1:33" ht="15" customHeight="1" x14ac:dyDescent="0.3">
      <c r="A4" s="44"/>
      <c r="B4" s="63"/>
      <c r="C4" s="21"/>
      <c r="D4" s="21"/>
      <c r="F4" s="33">
        <f>Inicio_del_proyecto-WEEKDAY(Inicio_del_proyecto,1)+2+7*(Semana_para_mostrar-1)</f>
        <v>45425</v>
      </c>
      <c r="G4" s="34">
        <f>F4+1</f>
        <v>45426</v>
      </c>
      <c r="H4" s="34">
        <f t="shared" ref="H4:AG4" si="0">G4+1</f>
        <v>45427</v>
      </c>
      <c r="I4" s="34">
        <f t="shared" si="0"/>
        <v>45428</v>
      </c>
      <c r="J4" s="34">
        <f t="shared" si="0"/>
        <v>45429</v>
      </c>
      <c r="K4" s="34">
        <f t="shared" si="0"/>
        <v>45430</v>
      </c>
      <c r="L4" s="35">
        <f t="shared" si="0"/>
        <v>45431</v>
      </c>
      <c r="M4" s="33">
        <f>L4+1</f>
        <v>45432</v>
      </c>
      <c r="N4" s="34">
        <f>M4+1</f>
        <v>45433</v>
      </c>
      <c r="O4" s="34">
        <f t="shared" si="0"/>
        <v>45434</v>
      </c>
      <c r="P4" s="34">
        <f t="shared" si="0"/>
        <v>45435</v>
      </c>
      <c r="Q4" s="34">
        <f t="shared" si="0"/>
        <v>45436</v>
      </c>
      <c r="R4" s="34">
        <f t="shared" si="0"/>
        <v>45437</v>
      </c>
      <c r="S4" s="35">
        <f t="shared" si="0"/>
        <v>45438</v>
      </c>
      <c r="T4" s="33">
        <f>S4+1</f>
        <v>45439</v>
      </c>
      <c r="U4" s="34">
        <f>T4+1</f>
        <v>45440</v>
      </c>
      <c r="V4" s="34">
        <f t="shared" si="0"/>
        <v>45441</v>
      </c>
      <c r="W4" s="34">
        <f t="shared" si="0"/>
        <v>45442</v>
      </c>
      <c r="X4" s="34">
        <f t="shared" si="0"/>
        <v>45443</v>
      </c>
      <c r="Y4" s="34">
        <f t="shared" si="0"/>
        <v>45444</v>
      </c>
      <c r="Z4" s="35">
        <f t="shared" si="0"/>
        <v>45445</v>
      </c>
      <c r="AA4" s="33">
        <f>Z4+1</f>
        <v>45446</v>
      </c>
      <c r="AB4" s="34">
        <f>AA4+1</f>
        <v>45447</v>
      </c>
      <c r="AC4" s="34">
        <f t="shared" si="0"/>
        <v>45448</v>
      </c>
      <c r="AD4" s="34">
        <f t="shared" si="0"/>
        <v>45449</v>
      </c>
      <c r="AE4" s="34">
        <f t="shared" si="0"/>
        <v>45450</v>
      </c>
      <c r="AF4" s="34">
        <f t="shared" si="0"/>
        <v>45451</v>
      </c>
      <c r="AG4" s="35">
        <f t="shared" si="0"/>
        <v>45452</v>
      </c>
    </row>
    <row r="5" spans="1:33" ht="30" customHeight="1" thickBot="1" x14ac:dyDescent="0.35">
      <c r="A5" s="45" t="s">
        <v>0</v>
      </c>
      <c r="B5" s="64" t="s">
        <v>159</v>
      </c>
      <c r="C5" s="6" t="s">
        <v>1</v>
      </c>
      <c r="D5" s="6" t="s">
        <v>2</v>
      </c>
      <c r="E5" s="6" t="s">
        <v>3</v>
      </c>
      <c r="F5" s="7" t="str">
        <f t="shared" ref="F5" si="1">LEFT(TEXT(F4,"ddd"),1)</f>
        <v>l</v>
      </c>
      <c r="G5" s="7" t="str">
        <f t="shared" ref="G5:AG5" si="2">LEFT(TEXT(G4,"ddd"),1)</f>
        <v>m</v>
      </c>
      <c r="H5" s="7" t="str">
        <f t="shared" si="2"/>
        <v>m</v>
      </c>
      <c r="I5" s="7" t="str">
        <f t="shared" si="2"/>
        <v>j</v>
      </c>
      <c r="J5" s="7" t="str">
        <f t="shared" si="2"/>
        <v>v</v>
      </c>
      <c r="K5" s="7" t="str">
        <f t="shared" si="2"/>
        <v>s</v>
      </c>
      <c r="L5" s="7" t="str">
        <f t="shared" si="2"/>
        <v>d</v>
      </c>
      <c r="M5" s="7" t="str">
        <f t="shared" si="2"/>
        <v>l</v>
      </c>
      <c r="N5" s="7" t="str">
        <f t="shared" si="2"/>
        <v>m</v>
      </c>
      <c r="O5" s="7" t="str">
        <f t="shared" si="2"/>
        <v>m</v>
      </c>
      <c r="P5" s="7" t="str">
        <f t="shared" si="2"/>
        <v>j</v>
      </c>
      <c r="Q5" s="7" t="str">
        <f t="shared" si="2"/>
        <v>v</v>
      </c>
      <c r="R5" s="7" t="str">
        <f t="shared" si="2"/>
        <v>s</v>
      </c>
      <c r="S5" s="7" t="str">
        <f t="shared" si="2"/>
        <v>d</v>
      </c>
      <c r="T5" s="7" t="str">
        <f t="shared" si="2"/>
        <v>l</v>
      </c>
      <c r="U5" s="7" t="str">
        <f t="shared" si="2"/>
        <v>m</v>
      </c>
      <c r="V5" s="7" t="str">
        <f t="shared" si="2"/>
        <v>m</v>
      </c>
      <c r="W5" s="7" t="str">
        <f t="shared" si="2"/>
        <v>j</v>
      </c>
      <c r="X5" s="7" t="str">
        <f t="shared" si="2"/>
        <v>v</v>
      </c>
      <c r="Y5" s="7" t="str">
        <f t="shared" si="2"/>
        <v>s</v>
      </c>
      <c r="Z5" s="7" t="str">
        <f t="shared" si="2"/>
        <v>d</v>
      </c>
      <c r="AA5" s="7" t="str">
        <f t="shared" si="2"/>
        <v>l</v>
      </c>
      <c r="AB5" s="7" t="str">
        <f t="shared" si="2"/>
        <v>m</v>
      </c>
      <c r="AC5" s="7" t="str">
        <f t="shared" si="2"/>
        <v>m</v>
      </c>
      <c r="AD5" s="7" t="str">
        <f t="shared" si="2"/>
        <v>j</v>
      </c>
      <c r="AE5" s="7" t="str">
        <f t="shared" si="2"/>
        <v>v</v>
      </c>
      <c r="AF5" s="7" t="str">
        <f t="shared" si="2"/>
        <v>s</v>
      </c>
      <c r="AG5" s="7" t="str">
        <f t="shared" si="2"/>
        <v>d</v>
      </c>
    </row>
    <row r="6" spans="1:33" s="2" customFormat="1" ht="28.2" customHeight="1" thickBot="1" x14ac:dyDescent="0.35">
      <c r="A6" s="46" t="s">
        <v>21</v>
      </c>
      <c r="B6" s="71">
        <v>10</v>
      </c>
      <c r="C6" s="24">
        <v>45425</v>
      </c>
      <c r="D6" s="25">
        <v>45425</v>
      </c>
      <c r="E6" s="8">
        <f t="shared" ref="E6:E35" si="3">IF(OR(ISBLANK(task_start),ISBLANK(task_end)),"",task_end-task_start+1)</f>
        <v>1</v>
      </c>
      <c r="F6" s="57"/>
      <c r="G6" s="57"/>
      <c r="H6" s="57"/>
      <c r="I6" s="60"/>
      <c r="J6" s="57"/>
      <c r="K6" s="57"/>
      <c r="L6" s="57"/>
      <c r="M6" s="57"/>
      <c r="N6" s="57"/>
      <c r="O6" s="57"/>
      <c r="P6" s="57"/>
      <c r="Q6" s="57"/>
      <c r="R6" s="57"/>
      <c r="S6" s="57"/>
      <c r="T6" s="57"/>
      <c r="U6" s="57"/>
      <c r="V6" s="57"/>
      <c r="W6" s="57"/>
      <c r="X6" s="57"/>
      <c r="Y6" s="57"/>
      <c r="Z6" s="57"/>
      <c r="AA6" s="57"/>
      <c r="AB6" s="57"/>
      <c r="AC6" s="57"/>
      <c r="AD6" s="57"/>
      <c r="AE6" s="57"/>
      <c r="AF6" s="57"/>
      <c r="AG6" s="57"/>
    </row>
    <row r="7" spans="1:33" s="2" customFormat="1" ht="30" customHeight="1" thickBot="1" x14ac:dyDescent="0.35">
      <c r="A7" s="47" t="s">
        <v>22</v>
      </c>
      <c r="B7" s="65"/>
      <c r="C7" s="36">
        <v>45425</v>
      </c>
      <c r="D7" s="36">
        <v>45425</v>
      </c>
      <c r="E7" s="8">
        <f t="shared" si="3"/>
        <v>1</v>
      </c>
      <c r="F7" s="57"/>
      <c r="G7" s="57"/>
      <c r="H7" s="57"/>
      <c r="I7" s="57"/>
      <c r="J7" s="57"/>
      <c r="K7" s="57"/>
      <c r="L7" s="57"/>
      <c r="M7" s="57"/>
      <c r="N7" s="57"/>
      <c r="O7" s="60"/>
      <c r="P7" s="57"/>
      <c r="Q7" s="57"/>
      <c r="R7" s="57"/>
      <c r="S7" s="57"/>
      <c r="T7" s="57"/>
      <c r="U7" s="57"/>
      <c r="V7" s="57"/>
      <c r="W7" s="57"/>
      <c r="X7" s="57"/>
      <c r="Y7" s="57"/>
      <c r="Z7" s="57"/>
      <c r="AA7" s="57"/>
      <c r="AB7" s="57"/>
      <c r="AC7" s="57"/>
      <c r="AD7" s="57"/>
      <c r="AE7" s="57"/>
      <c r="AF7" s="57"/>
      <c r="AG7" s="57"/>
    </row>
    <row r="8" spans="1:33" s="2" customFormat="1" ht="30" customHeight="1" thickBot="1" x14ac:dyDescent="0.35">
      <c r="A8" s="47" t="s">
        <v>23</v>
      </c>
      <c r="B8" s="65">
        <v>10</v>
      </c>
      <c r="C8" s="36">
        <v>45425</v>
      </c>
      <c r="D8" s="36">
        <v>45425</v>
      </c>
      <c r="E8" s="8">
        <f t="shared" si="3"/>
        <v>1</v>
      </c>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row>
    <row r="9" spans="1:33" s="2" customFormat="1" ht="30" customHeight="1" thickBot="1" x14ac:dyDescent="0.35">
      <c r="A9" s="48" t="s">
        <v>24</v>
      </c>
      <c r="B9" s="72">
        <v>270</v>
      </c>
      <c r="C9" s="26">
        <v>45425</v>
      </c>
      <c r="D9" s="27">
        <v>45427</v>
      </c>
      <c r="E9" s="8">
        <f t="shared" si="3"/>
        <v>3</v>
      </c>
      <c r="F9" s="57"/>
      <c r="G9" s="57"/>
      <c r="H9" s="57"/>
      <c r="I9" s="57"/>
      <c r="J9" s="57"/>
      <c r="K9" s="57"/>
      <c r="L9" s="57"/>
      <c r="M9" s="57"/>
      <c r="N9" s="57"/>
      <c r="O9" s="57"/>
      <c r="P9" s="57"/>
      <c r="Q9" s="57"/>
      <c r="R9" s="57"/>
      <c r="S9" s="57"/>
      <c r="T9" s="57"/>
      <c r="U9" s="57"/>
      <c r="V9" s="57"/>
      <c r="W9" s="57"/>
      <c r="X9" s="57"/>
      <c r="Y9" s="57"/>
      <c r="Z9" s="57"/>
      <c r="AA9" s="57"/>
      <c r="AB9" s="57"/>
      <c r="AC9" s="57"/>
      <c r="AD9" s="57"/>
      <c r="AE9" s="57"/>
      <c r="AF9" s="57"/>
      <c r="AG9" s="57"/>
    </row>
    <row r="10" spans="1:33" s="2" customFormat="1" ht="30" customHeight="1" thickBot="1" x14ac:dyDescent="0.35">
      <c r="A10" s="49" t="s">
        <v>25</v>
      </c>
      <c r="B10" s="66"/>
      <c r="C10" s="26">
        <v>45425</v>
      </c>
      <c r="D10" s="27">
        <v>45427</v>
      </c>
      <c r="E10" s="8">
        <f t="shared" si="3"/>
        <v>3</v>
      </c>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row>
    <row r="11" spans="1:33" s="2" customFormat="1" ht="30" customHeight="1" thickBot="1" x14ac:dyDescent="0.35">
      <c r="A11" s="49" t="s">
        <v>26</v>
      </c>
      <c r="B11" s="66">
        <v>180</v>
      </c>
      <c r="C11" s="26">
        <v>45425</v>
      </c>
      <c r="D11" s="27">
        <v>45427</v>
      </c>
      <c r="E11" s="8">
        <f t="shared" si="3"/>
        <v>3</v>
      </c>
      <c r="F11" s="57"/>
      <c r="G11" s="57"/>
      <c r="H11" s="57"/>
      <c r="I11" s="57"/>
      <c r="J11" s="57"/>
      <c r="K11" s="57"/>
      <c r="L11" s="57"/>
      <c r="M11" s="57"/>
      <c r="N11" s="57"/>
      <c r="O11" s="57"/>
      <c r="P11" s="57"/>
      <c r="Q11" s="57"/>
      <c r="R11" s="59"/>
      <c r="S11" s="59"/>
      <c r="T11" s="57"/>
      <c r="U11" s="57"/>
      <c r="V11" s="57"/>
      <c r="W11" s="57"/>
      <c r="X11" s="57"/>
      <c r="Y11" s="57"/>
      <c r="Z11" s="57"/>
      <c r="AA11" s="57"/>
      <c r="AB11" s="57"/>
      <c r="AC11" s="57"/>
      <c r="AD11" s="57"/>
      <c r="AE11" s="57"/>
      <c r="AF11" s="57"/>
      <c r="AG11" s="57"/>
    </row>
    <row r="12" spans="1:33" s="2" customFormat="1" ht="30" customHeight="1" thickBot="1" x14ac:dyDescent="0.35">
      <c r="A12" s="49" t="s">
        <v>27</v>
      </c>
      <c r="B12" s="66">
        <v>20</v>
      </c>
      <c r="C12" s="26">
        <v>45426</v>
      </c>
      <c r="D12" s="27">
        <v>45427</v>
      </c>
      <c r="E12" s="8">
        <f t="shared" si="3"/>
        <v>2</v>
      </c>
      <c r="F12" s="57"/>
      <c r="G12" s="57"/>
      <c r="H12" s="57"/>
      <c r="I12" s="57"/>
      <c r="J12" s="57"/>
      <c r="K12" s="57"/>
      <c r="L12" s="57"/>
      <c r="M12" s="57"/>
      <c r="N12" s="57"/>
      <c r="O12" s="57"/>
      <c r="P12" s="57"/>
      <c r="Q12" s="57"/>
      <c r="R12" s="57"/>
      <c r="S12" s="57"/>
      <c r="T12" s="57"/>
      <c r="U12" s="57"/>
      <c r="V12" s="59"/>
      <c r="W12" s="57"/>
      <c r="X12" s="57"/>
      <c r="Y12" s="57"/>
      <c r="Z12" s="57"/>
      <c r="AA12" s="57"/>
      <c r="AB12" s="57"/>
      <c r="AC12" s="57"/>
      <c r="AD12" s="57"/>
      <c r="AE12" s="57"/>
      <c r="AF12" s="57"/>
      <c r="AG12" s="57"/>
    </row>
    <row r="13" spans="1:33" s="2" customFormat="1" ht="30" customHeight="1" thickBot="1" x14ac:dyDescent="0.35">
      <c r="A13" s="49" t="s">
        <v>28</v>
      </c>
      <c r="B13" s="66">
        <v>60</v>
      </c>
      <c r="C13" s="26">
        <v>45426</v>
      </c>
      <c r="D13" s="27">
        <v>45427</v>
      </c>
      <c r="E13" s="8"/>
      <c r="F13" s="57"/>
      <c r="G13" s="57"/>
      <c r="H13" s="57"/>
      <c r="I13" s="57"/>
      <c r="J13" s="57"/>
      <c r="K13" s="57"/>
      <c r="L13" s="57"/>
      <c r="M13" s="57"/>
      <c r="N13" s="57"/>
      <c r="O13" s="57"/>
      <c r="P13" s="57"/>
      <c r="Q13" s="57"/>
      <c r="R13" s="57"/>
      <c r="S13" s="57"/>
      <c r="T13" s="57"/>
      <c r="U13" s="57"/>
      <c r="V13" s="59"/>
      <c r="W13" s="57"/>
      <c r="X13" s="57"/>
      <c r="Y13" s="57"/>
      <c r="Z13" s="57"/>
      <c r="AA13" s="57"/>
      <c r="AB13" s="57"/>
      <c r="AC13" s="57"/>
      <c r="AD13" s="57"/>
      <c r="AE13" s="57"/>
      <c r="AF13" s="57"/>
      <c r="AG13" s="57"/>
    </row>
    <row r="14" spans="1:33" s="2" customFormat="1" ht="30" customHeight="1" thickBot="1" x14ac:dyDescent="0.35">
      <c r="A14" s="49" t="s">
        <v>29</v>
      </c>
      <c r="B14" s="66">
        <v>10</v>
      </c>
      <c r="C14" s="26">
        <v>45427</v>
      </c>
      <c r="D14" s="27">
        <v>45427</v>
      </c>
      <c r="E14" s="8"/>
      <c r="F14" s="57"/>
      <c r="G14" s="57"/>
      <c r="H14" s="57"/>
      <c r="I14" s="57"/>
      <c r="J14" s="57"/>
      <c r="K14" s="57"/>
      <c r="L14" s="57"/>
      <c r="M14" s="57"/>
      <c r="N14" s="57"/>
      <c r="O14" s="57"/>
      <c r="P14" s="57"/>
      <c r="Q14" s="57"/>
      <c r="R14" s="57"/>
      <c r="S14" s="57"/>
      <c r="T14" s="57"/>
      <c r="U14" s="57"/>
      <c r="V14" s="59"/>
      <c r="W14" s="57"/>
      <c r="X14" s="57"/>
      <c r="Y14" s="57"/>
      <c r="Z14" s="57"/>
      <c r="AA14" s="57"/>
      <c r="AB14" s="57"/>
      <c r="AC14" s="57"/>
      <c r="AD14" s="57"/>
      <c r="AE14" s="57"/>
      <c r="AF14" s="57"/>
      <c r="AG14" s="57"/>
    </row>
    <row r="15" spans="1:33" s="2" customFormat="1" ht="30" customHeight="1" thickBot="1" x14ac:dyDescent="0.35">
      <c r="A15" s="50" t="s">
        <v>30</v>
      </c>
      <c r="B15" s="73">
        <v>90</v>
      </c>
      <c r="C15" s="28">
        <v>45427</v>
      </c>
      <c r="D15" s="28">
        <v>45428</v>
      </c>
      <c r="E15" s="8">
        <f t="shared" si="3"/>
        <v>2</v>
      </c>
      <c r="F15" s="57"/>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57"/>
      <c r="AG15" s="57"/>
    </row>
    <row r="16" spans="1:33" s="2" customFormat="1" ht="30" customHeight="1" thickBot="1" x14ac:dyDescent="0.35">
      <c r="A16" s="51" t="s">
        <v>31</v>
      </c>
      <c r="B16" s="67"/>
      <c r="C16" s="30">
        <v>45427</v>
      </c>
      <c r="D16" s="30">
        <v>45428</v>
      </c>
      <c r="E16" s="8">
        <f t="shared" si="3"/>
        <v>2</v>
      </c>
      <c r="F16" s="57"/>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row>
    <row r="17" spans="1:33" s="2" customFormat="1" ht="30" customHeight="1" thickBot="1" x14ac:dyDescent="0.35">
      <c r="A17" s="51" t="s">
        <v>32</v>
      </c>
      <c r="B17" s="67">
        <v>20</v>
      </c>
      <c r="C17" s="30">
        <v>45427</v>
      </c>
      <c r="D17" s="30">
        <v>45428</v>
      </c>
      <c r="E17" s="8">
        <f t="shared" si="3"/>
        <v>2</v>
      </c>
      <c r="F17" s="57"/>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row>
    <row r="18" spans="1:33" s="2" customFormat="1" ht="30" customHeight="1" thickBot="1" x14ac:dyDescent="0.35">
      <c r="A18" s="51" t="s">
        <v>33</v>
      </c>
      <c r="B18" s="67">
        <v>10</v>
      </c>
      <c r="C18" s="30">
        <v>45427</v>
      </c>
      <c r="D18" s="30">
        <v>45428</v>
      </c>
      <c r="E18" s="8">
        <f t="shared" si="3"/>
        <v>2</v>
      </c>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row>
    <row r="19" spans="1:33" s="2" customFormat="1" ht="30" customHeight="1" thickBot="1" x14ac:dyDescent="0.35">
      <c r="A19" s="51" t="s">
        <v>34</v>
      </c>
      <c r="B19" s="67"/>
      <c r="C19" s="30">
        <v>45427</v>
      </c>
      <c r="D19" s="30">
        <v>45428</v>
      </c>
      <c r="E19" s="8">
        <f t="shared" si="3"/>
        <v>2</v>
      </c>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row>
    <row r="20" spans="1:33" s="2" customFormat="1" ht="30" customHeight="1" thickBot="1" x14ac:dyDescent="0.35">
      <c r="A20" s="51" t="s">
        <v>35</v>
      </c>
      <c r="B20" s="67">
        <v>40</v>
      </c>
      <c r="C20" s="30">
        <v>45427</v>
      </c>
      <c r="D20" s="30">
        <v>45428</v>
      </c>
      <c r="E20" s="8">
        <f t="shared" si="3"/>
        <v>2</v>
      </c>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row>
    <row r="21" spans="1:33" s="2" customFormat="1" ht="30" customHeight="1" thickBot="1" x14ac:dyDescent="0.35">
      <c r="A21" s="51" t="s">
        <v>36</v>
      </c>
      <c r="B21" s="67">
        <v>40</v>
      </c>
      <c r="C21" s="30">
        <v>45428</v>
      </c>
      <c r="D21" s="30">
        <v>45428</v>
      </c>
      <c r="E21" s="8"/>
      <c r="F21" s="57"/>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row>
    <row r="22" spans="1:33" s="2" customFormat="1" ht="30" customHeight="1" thickBot="1" x14ac:dyDescent="0.35">
      <c r="A22" s="52" t="s">
        <v>37</v>
      </c>
      <c r="B22" s="74">
        <v>75</v>
      </c>
      <c r="C22" s="31">
        <v>45428</v>
      </c>
      <c r="D22" s="32">
        <v>45429</v>
      </c>
      <c r="E22" s="8">
        <f t="shared" si="3"/>
        <v>2</v>
      </c>
      <c r="F22" s="57"/>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row>
    <row r="23" spans="1:33" s="2" customFormat="1" ht="30" customHeight="1" thickBot="1" x14ac:dyDescent="0.35">
      <c r="A23" s="53" t="s">
        <v>38</v>
      </c>
      <c r="B23" s="68"/>
      <c r="C23" s="38">
        <v>45428</v>
      </c>
      <c r="D23" s="38">
        <v>45429</v>
      </c>
      <c r="E23" s="8">
        <f t="shared" si="3"/>
        <v>2</v>
      </c>
      <c r="F23" s="57"/>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57"/>
      <c r="AG23" s="57"/>
    </row>
    <row r="24" spans="1:33" s="2" customFormat="1" ht="30" customHeight="1" thickBot="1" x14ac:dyDescent="0.35">
      <c r="A24" s="53" t="s">
        <v>39</v>
      </c>
      <c r="B24" s="68">
        <v>20</v>
      </c>
      <c r="C24" s="38">
        <v>45428</v>
      </c>
      <c r="D24" s="38">
        <v>45429</v>
      </c>
      <c r="E24" s="8">
        <f t="shared" si="3"/>
        <v>2</v>
      </c>
      <c r="F24" s="57"/>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row>
    <row r="25" spans="1:33" s="2" customFormat="1" ht="30" customHeight="1" thickBot="1" x14ac:dyDescent="0.35">
      <c r="A25" s="53" t="s">
        <v>40</v>
      </c>
      <c r="B25" s="68">
        <v>10</v>
      </c>
      <c r="C25" s="38">
        <v>45429</v>
      </c>
      <c r="D25" s="38">
        <v>45429</v>
      </c>
      <c r="E25" s="8">
        <f t="shared" si="3"/>
        <v>1</v>
      </c>
      <c r="F25" s="57"/>
      <c r="G25" s="57"/>
      <c r="H25" s="57"/>
      <c r="I25" s="57"/>
      <c r="J25" s="57"/>
      <c r="K25" s="57"/>
      <c r="L25" s="57"/>
      <c r="M25" s="57"/>
      <c r="N25" s="57"/>
      <c r="O25" s="57"/>
      <c r="P25" s="57"/>
      <c r="Q25" s="57"/>
      <c r="R25" s="57"/>
      <c r="S25" s="57"/>
      <c r="T25" s="57"/>
      <c r="U25" s="57"/>
      <c r="V25" s="57"/>
      <c r="W25" s="57"/>
      <c r="X25" s="57"/>
      <c r="Y25" s="57"/>
      <c r="Z25" s="57"/>
      <c r="AA25" s="57"/>
      <c r="AB25" s="57"/>
      <c r="AC25" s="57"/>
      <c r="AD25" s="57"/>
      <c r="AE25" s="57"/>
      <c r="AF25" s="57"/>
      <c r="AG25" s="57"/>
    </row>
    <row r="26" spans="1:33" s="2" customFormat="1" ht="30" customHeight="1" thickBot="1" x14ac:dyDescent="0.35">
      <c r="A26" s="53" t="s">
        <v>41</v>
      </c>
      <c r="B26" s="68"/>
      <c r="C26" s="38">
        <v>45429</v>
      </c>
      <c r="D26" s="38">
        <v>45429</v>
      </c>
      <c r="E26" s="8">
        <f t="shared" si="3"/>
        <v>1</v>
      </c>
      <c r="F26" s="57"/>
      <c r="G26" s="57"/>
      <c r="H26" s="57"/>
      <c r="I26" s="57"/>
      <c r="J26" s="57"/>
      <c r="K26" s="57"/>
      <c r="L26" s="57"/>
      <c r="M26" s="57"/>
      <c r="N26" s="57"/>
      <c r="O26" s="57"/>
      <c r="P26" s="57"/>
      <c r="Q26" s="57"/>
      <c r="R26" s="57"/>
      <c r="S26" s="57"/>
      <c r="T26" s="57"/>
      <c r="U26" s="57"/>
      <c r="V26" s="57"/>
      <c r="W26" s="57"/>
      <c r="X26" s="57"/>
      <c r="Y26" s="57"/>
      <c r="Z26" s="57"/>
      <c r="AA26" s="57"/>
      <c r="AB26" s="57"/>
      <c r="AC26" s="57"/>
      <c r="AD26" s="57"/>
      <c r="AE26" s="57"/>
      <c r="AF26" s="57"/>
      <c r="AG26" s="57"/>
    </row>
    <row r="27" spans="1:33" s="2" customFormat="1" ht="30" customHeight="1" thickBot="1" x14ac:dyDescent="0.35">
      <c r="A27" s="53" t="s">
        <v>42</v>
      </c>
      <c r="B27" s="68">
        <v>30</v>
      </c>
      <c r="C27" s="38">
        <v>45429</v>
      </c>
      <c r="D27" s="38">
        <v>45429</v>
      </c>
      <c r="E27" s="8">
        <f t="shared" si="3"/>
        <v>1</v>
      </c>
      <c r="F27" s="57"/>
      <c r="G27" s="57"/>
      <c r="H27" s="57"/>
      <c r="I27" s="57"/>
      <c r="J27" s="57"/>
      <c r="K27" s="57"/>
      <c r="L27" s="57"/>
      <c r="M27" s="57"/>
      <c r="N27" s="57"/>
      <c r="O27" s="57"/>
      <c r="P27" s="57"/>
      <c r="Q27" s="57"/>
      <c r="R27" s="57"/>
      <c r="S27" s="57"/>
      <c r="T27" s="57"/>
      <c r="U27" s="57"/>
      <c r="V27" s="57"/>
      <c r="W27" s="57"/>
      <c r="X27" s="57"/>
      <c r="Y27" s="57"/>
      <c r="Z27" s="57"/>
      <c r="AA27" s="57"/>
      <c r="AB27" s="57"/>
      <c r="AC27" s="57"/>
      <c r="AD27" s="57"/>
      <c r="AE27" s="57"/>
      <c r="AF27" s="57"/>
      <c r="AG27" s="57"/>
    </row>
    <row r="28" spans="1:33" s="2" customFormat="1" ht="30" customHeight="1" thickBot="1" x14ac:dyDescent="0.35">
      <c r="A28" s="53" t="s">
        <v>43</v>
      </c>
      <c r="B28" s="68"/>
      <c r="C28" s="38">
        <v>45429</v>
      </c>
      <c r="D28" s="38">
        <v>45429</v>
      </c>
      <c r="E28" s="8"/>
      <c r="F28" s="57"/>
      <c r="G28" s="57"/>
      <c r="H28" s="57"/>
      <c r="I28" s="57"/>
      <c r="J28" s="57"/>
      <c r="K28" s="57"/>
      <c r="L28" s="57"/>
      <c r="M28" s="57"/>
      <c r="N28" s="57"/>
      <c r="O28" s="57"/>
      <c r="P28" s="57"/>
      <c r="Q28" s="57"/>
      <c r="R28" s="57"/>
      <c r="S28" s="57"/>
      <c r="T28" s="57"/>
      <c r="U28" s="57"/>
      <c r="V28" s="57"/>
      <c r="W28" s="57"/>
      <c r="X28" s="57"/>
      <c r="Y28" s="57"/>
      <c r="Z28" s="57"/>
      <c r="AA28" s="57"/>
      <c r="AB28" s="57"/>
      <c r="AC28" s="57"/>
      <c r="AD28" s="57"/>
      <c r="AE28" s="57"/>
      <c r="AF28" s="57"/>
      <c r="AG28" s="57"/>
    </row>
    <row r="29" spans="1:33" s="2" customFormat="1" ht="30" customHeight="1" thickBot="1" x14ac:dyDescent="0.35">
      <c r="A29" s="53" t="s">
        <v>44</v>
      </c>
      <c r="B29" s="68">
        <v>10</v>
      </c>
      <c r="C29" s="38">
        <v>45429</v>
      </c>
      <c r="D29" s="38">
        <v>45429</v>
      </c>
      <c r="E29" s="8"/>
      <c r="F29" s="57"/>
      <c r="G29" s="57"/>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c r="AG29" s="57"/>
    </row>
    <row r="30" spans="1:33" s="2" customFormat="1" ht="30" customHeight="1" thickBot="1" x14ac:dyDescent="0.35">
      <c r="A30" s="53" t="s">
        <v>45</v>
      </c>
      <c r="B30" s="68"/>
      <c r="C30" s="38">
        <v>45429</v>
      </c>
      <c r="D30" s="38">
        <v>45429</v>
      </c>
      <c r="E30" s="8"/>
      <c r="F30" s="57"/>
      <c r="G30" s="57"/>
      <c r="H30" s="57"/>
      <c r="I30" s="57"/>
      <c r="J30" s="57"/>
      <c r="K30" s="57"/>
      <c r="L30" s="57"/>
      <c r="M30" s="57"/>
      <c r="N30" s="57"/>
      <c r="O30" s="57"/>
      <c r="P30" s="57"/>
      <c r="Q30" s="57"/>
      <c r="R30" s="57"/>
      <c r="S30" s="57"/>
      <c r="T30" s="57"/>
      <c r="U30" s="57"/>
      <c r="V30" s="57"/>
      <c r="W30" s="57"/>
      <c r="X30" s="57"/>
      <c r="Y30" s="57"/>
      <c r="Z30" s="57"/>
      <c r="AA30" s="57"/>
      <c r="AB30" s="57"/>
      <c r="AC30" s="57"/>
      <c r="AD30" s="57"/>
      <c r="AE30" s="57"/>
      <c r="AF30" s="57"/>
      <c r="AG30" s="57"/>
    </row>
    <row r="31" spans="1:33" s="2" customFormat="1" ht="30" customHeight="1" thickBot="1" x14ac:dyDescent="0.35">
      <c r="A31" s="53" t="s">
        <v>46</v>
      </c>
      <c r="B31" s="68">
        <v>5</v>
      </c>
      <c r="C31" s="38">
        <v>45429</v>
      </c>
      <c r="D31" s="38">
        <v>45429</v>
      </c>
      <c r="E31" s="8"/>
      <c r="F31" s="57"/>
      <c r="G31" s="57"/>
      <c r="H31" s="57"/>
      <c r="I31" s="57"/>
      <c r="J31" s="57"/>
      <c r="K31" s="57"/>
      <c r="L31" s="57"/>
      <c r="M31" s="57"/>
      <c r="N31" s="57"/>
      <c r="O31" s="57"/>
      <c r="P31" s="57"/>
      <c r="Q31" s="57"/>
      <c r="R31" s="57"/>
      <c r="S31" s="57"/>
      <c r="T31" s="57"/>
      <c r="U31" s="57"/>
      <c r="V31" s="57"/>
      <c r="W31" s="57"/>
      <c r="X31" s="57"/>
      <c r="Y31" s="57"/>
      <c r="Z31" s="57"/>
      <c r="AA31" s="57"/>
      <c r="AB31" s="57"/>
      <c r="AC31" s="57"/>
      <c r="AD31" s="57"/>
      <c r="AE31" s="57"/>
      <c r="AF31" s="57"/>
      <c r="AG31" s="57"/>
    </row>
    <row r="32" spans="1:33" s="2" customFormat="1" ht="30" customHeight="1" thickBot="1" x14ac:dyDescent="0.35">
      <c r="A32" s="46" t="s">
        <v>47</v>
      </c>
      <c r="B32" s="71">
        <v>180</v>
      </c>
      <c r="C32" s="24">
        <v>45429</v>
      </c>
      <c r="D32" s="25">
        <v>45433</v>
      </c>
      <c r="E32" s="8">
        <f t="shared" si="3"/>
        <v>5</v>
      </c>
      <c r="F32" s="57"/>
      <c r="G32" s="57"/>
      <c r="H32" s="57"/>
      <c r="I32" s="57"/>
      <c r="J32" s="57"/>
      <c r="K32" s="57"/>
      <c r="L32" s="57"/>
      <c r="M32" s="57"/>
      <c r="N32" s="57"/>
      <c r="O32" s="57"/>
      <c r="P32" s="57"/>
      <c r="Q32" s="57"/>
      <c r="R32" s="57"/>
      <c r="S32" s="57"/>
      <c r="T32" s="57"/>
      <c r="U32" s="57"/>
      <c r="V32" s="57"/>
      <c r="W32" s="57"/>
      <c r="X32" s="57"/>
      <c r="Y32" s="57"/>
      <c r="Z32" s="57"/>
      <c r="AA32" s="57"/>
      <c r="AB32" s="57"/>
      <c r="AC32" s="57"/>
      <c r="AD32" s="57"/>
      <c r="AE32" s="57"/>
      <c r="AF32" s="57"/>
      <c r="AG32" s="57"/>
    </row>
    <row r="33" spans="1:33" s="2" customFormat="1" ht="30" customHeight="1" thickBot="1" x14ac:dyDescent="0.35">
      <c r="A33" s="47" t="s">
        <v>48</v>
      </c>
      <c r="B33" s="65"/>
      <c r="C33" s="36">
        <v>45429</v>
      </c>
      <c r="D33" s="36">
        <v>45433</v>
      </c>
      <c r="E33" s="8">
        <f t="shared" si="3"/>
        <v>5</v>
      </c>
      <c r="F33" s="57"/>
      <c r="G33" s="57"/>
      <c r="H33" s="57"/>
      <c r="I33" s="57"/>
      <c r="J33" s="57"/>
      <c r="K33" s="57"/>
      <c r="L33" s="57"/>
      <c r="M33" s="57"/>
      <c r="N33" s="57"/>
      <c r="O33" s="57"/>
      <c r="P33" s="57"/>
      <c r="Q33" s="57"/>
      <c r="R33" s="57"/>
      <c r="S33" s="57"/>
      <c r="T33" s="57"/>
      <c r="U33" s="57"/>
      <c r="V33" s="57"/>
      <c r="W33" s="57"/>
      <c r="X33" s="57"/>
      <c r="Y33" s="57"/>
      <c r="Z33" s="57"/>
      <c r="AA33" s="57"/>
      <c r="AB33" s="57"/>
      <c r="AC33" s="57"/>
      <c r="AD33" s="57"/>
      <c r="AE33" s="57"/>
      <c r="AF33" s="57"/>
      <c r="AG33" s="57"/>
    </row>
    <row r="34" spans="1:33" s="2" customFormat="1" ht="30" customHeight="1" thickBot="1" x14ac:dyDescent="0.35">
      <c r="A34" s="47" t="s">
        <v>49</v>
      </c>
      <c r="B34" s="65">
        <v>5</v>
      </c>
      <c r="C34" s="36">
        <v>45429</v>
      </c>
      <c r="D34" s="36">
        <v>45433</v>
      </c>
      <c r="E34" s="8">
        <f t="shared" si="3"/>
        <v>5</v>
      </c>
      <c r="F34" s="57"/>
      <c r="G34" s="57"/>
      <c r="H34" s="57"/>
      <c r="I34" s="57"/>
      <c r="J34" s="57"/>
      <c r="K34" s="57"/>
      <c r="L34" s="57"/>
      <c r="M34" s="57"/>
      <c r="N34" s="57"/>
      <c r="O34" s="57"/>
      <c r="P34" s="57"/>
      <c r="Q34" s="57"/>
      <c r="R34" s="59"/>
      <c r="S34" s="59"/>
      <c r="T34" s="57"/>
      <c r="U34" s="57"/>
      <c r="V34" s="57"/>
      <c r="W34" s="57"/>
      <c r="X34" s="57"/>
      <c r="Y34" s="57"/>
      <c r="Z34" s="57"/>
      <c r="AA34" s="57"/>
      <c r="AB34" s="57"/>
      <c r="AC34" s="57"/>
      <c r="AD34" s="57"/>
      <c r="AE34" s="57"/>
      <c r="AF34" s="57"/>
      <c r="AG34" s="57"/>
    </row>
    <row r="35" spans="1:33" s="2" customFormat="1" ht="30" customHeight="1" thickBot="1" x14ac:dyDescent="0.35">
      <c r="A35" s="47" t="s">
        <v>50</v>
      </c>
      <c r="B35" s="65">
        <v>40</v>
      </c>
      <c r="C35" s="36">
        <v>45429</v>
      </c>
      <c r="D35" s="36">
        <v>45433</v>
      </c>
      <c r="E35" s="55">
        <f t="shared" si="3"/>
        <v>5</v>
      </c>
      <c r="F35" s="57"/>
      <c r="G35" s="57"/>
      <c r="H35" s="57"/>
      <c r="I35" s="57"/>
      <c r="J35" s="57"/>
      <c r="K35" s="57"/>
      <c r="L35" s="57"/>
      <c r="M35" s="57"/>
      <c r="N35" s="57"/>
      <c r="O35" s="57"/>
      <c r="P35" s="57"/>
      <c r="Q35" s="57"/>
      <c r="R35" s="57"/>
      <c r="S35" s="57"/>
      <c r="T35" s="57"/>
      <c r="U35" s="57"/>
      <c r="V35" s="57"/>
      <c r="W35" s="57"/>
      <c r="X35" s="57"/>
      <c r="Y35" s="57"/>
      <c r="Z35" s="57"/>
      <c r="AA35" s="57"/>
      <c r="AB35" s="57"/>
      <c r="AC35" s="57"/>
      <c r="AD35" s="57"/>
      <c r="AE35" s="57"/>
      <c r="AF35" s="57"/>
      <c r="AG35" s="57"/>
    </row>
    <row r="36" spans="1:33" s="2" customFormat="1" ht="30" customHeight="1" thickBot="1" x14ac:dyDescent="0.35">
      <c r="A36" s="47" t="s">
        <v>51</v>
      </c>
      <c r="B36" s="65"/>
      <c r="C36" s="36">
        <v>45430</v>
      </c>
      <c r="D36" s="36">
        <v>45433</v>
      </c>
      <c r="E36" s="58"/>
      <c r="F36" s="57"/>
      <c r="G36" s="57"/>
      <c r="H36" s="57"/>
      <c r="I36" s="57"/>
      <c r="J36" s="57"/>
      <c r="K36" s="57"/>
      <c r="L36" s="57"/>
      <c r="M36" s="57"/>
      <c r="N36" s="57"/>
      <c r="O36" s="57"/>
      <c r="P36" s="57"/>
      <c r="Q36" s="57"/>
      <c r="R36" s="57"/>
      <c r="S36" s="57"/>
      <c r="T36" s="57"/>
      <c r="U36" s="57"/>
      <c r="V36" s="57"/>
      <c r="W36" s="57"/>
      <c r="X36" s="57"/>
      <c r="Y36" s="57"/>
      <c r="Z36" s="57"/>
      <c r="AA36" s="57"/>
      <c r="AB36" s="57"/>
      <c r="AC36" s="57"/>
      <c r="AD36" s="57"/>
      <c r="AE36" s="57"/>
      <c r="AF36" s="57"/>
      <c r="AG36" s="57"/>
    </row>
    <row r="37" spans="1:33" s="2" customFormat="1" ht="30" customHeight="1" thickBot="1" x14ac:dyDescent="0.35">
      <c r="A37" s="47" t="s">
        <v>52</v>
      </c>
      <c r="B37" s="65">
        <v>5</v>
      </c>
      <c r="C37" s="36">
        <v>45430</v>
      </c>
      <c r="D37" s="36">
        <v>45433</v>
      </c>
      <c r="E37" s="58"/>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row>
    <row r="38" spans="1:33" s="2" customFormat="1" ht="30" customHeight="1" thickBot="1" x14ac:dyDescent="0.35">
      <c r="A38" s="47" t="s">
        <v>53</v>
      </c>
      <c r="B38" s="65">
        <v>10</v>
      </c>
      <c r="C38" s="36">
        <v>45430</v>
      </c>
      <c r="D38" s="36">
        <v>45433</v>
      </c>
      <c r="E38" s="58"/>
      <c r="F38" s="57"/>
      <c r="G38" s="57"/>
      <c r="H38" s="57"/>
      <c r="I38" s="57"/>
      <c r="J38" s="57"/>
      <c r="K38" s="57"/>
      <c r="L38" s="57"/>
      <c r="M38" s="57"/>
      <c r="N38" s="57"/>
      <c r="O38" s="57"/>
      <c r="P38" s="57"/>
      <c r="Q38" s="57"/>
      <c r="R38" s="57"/>
      <c r="S38" s="57"/>
      <c r="T38" s="57"/>
      <c r="U38" s="57"/>
      <c r="V38" s="57"/>
      <c r="W38" s="57"/>
      <c r="X38" s="57"/>
      <c r="Y38" s="57"/>
      <c r="Z38" s="57"/>
      <c r="AA38" s="57"/>
      <c r="AB38" s="57"/>
      <c r="AC38" s="57"/>
      <c r="AD38" s="57"/>
      <c r="AE38" s="57"/>
      <c r="AF38" s="57"/>
      <c r="AG38" s="57"/>
    </row>
    <row r="39" spans="1:33" s="2" customFormat="1" ht="30" customHeight="1" thickBot="1" x14ac:dyDescent="0.35">
      <c r="A39" s="47" t="s">
        <v>54</v>
      </c>
      <c r="B39" s="65"/>
      <c r="C39" s="36">
        <v>45431</v>
      </c>
      <c r="D39" s="36">
        <v>45433</v>
      </c>
      <c r="E39" s="58"/>
      <c r="F39" s="57"/>
      <c r="G39" s="57"/>
      <c r="H39" s="57"/>
      <c r="I39" s="57"/>
      <c r="J39" s="57"/>
      <c r="K39" s="57"/>
      <c r="L39" s="57"/>
      <c r="M39" s="57"/>
      <c r="N39" s="57"/>
      <c r="O39" s="57"/>
      <c r="P39" s="57"/>
      <c r="Q39" s="57"/>
      <c r="R39" s="57"/>
      <c r="S39" s="57"/>
      <c r="T39" s="57"/>
      <c r="U39" s="57"/>
      <c r="V39" s="57"/>
      <c r="W39" s="57"/>
      <c r="X39" s="57"/>
      <c r="Y39" s="57"/>
      <c r="Z39" s="57"/>
      <c r="AA39" s="57"/>
      <c r="AB39" s="57"/>
      <c r="AC39" s="57"/>
      <c r="AD39" s="57"/>
      <c r="AE39" s="57"/>
      <c r="AF39" s="57"/>
      <c r="AG39" s="57"/>
    </row>
    <row r="40" spans="1:33" s="2" customFormat="1" ht="30" customHeight="1" thickBot="1" x14ac:dyDescent="0.35">
      <c r="A40" s="47" t="s">
        <v>55</v>
      </c>
      <c r="B40" s="65">
        <v>60</v>
      </c>
      <c r="C40" s="36">
        <v>45431</v>
      </c>
      <c r="D40" s="36">
        <v>45433</v>
      </c>
      <c r="E40" s="58"/>
      <c r="F40" s="57"/>
      <c r="G40" s="57"/>
      <c r="H40" s="57"/>
      <c r="I40" s="57"/>
      <c r="J40" s="57"/>
      <c r="K40" s="57"/>
      <c r="L40" s="57"/>
      <c r="M40" s="57"/>
      <c r="N40" s="57"/>
      <c r="O40" s="57"/>
      <c r="P40" s="57"/>
      <c r="Q40" s="57"/>
      <c r="R40" s="57"/>
      <c r="S40" s="57"/>
      <c r="T40" s="57"/>
      <c r="U40" s="57"/>
      <c r="V40" s="57"/>
      <c r="W40" s="57"/>
      <c r="X40" s="57"/>
      <c r="Y40" s="57"/>
      <c r="Z40" s="57"/>
      <c r="AA40" s="57"/>
      <c r="AB40" s="57"/>
      <c r="AC40" s="57"/>
      <c r="AD40" s="57"/>
      <c r="AE40" s="57"/>
      <c r="AF40" s="57"/>
      <c r="AG40" s="57"/>
    </row>
    <row r="41" spans="1:33" s="2" customFormat="1" ht="30" customHeight="1" thickBot="1" x14ac:dyDescent="0.35">
      <c r="A41" s="47" t="s">
        <v>56</v>
      </c>
      <c r="B41" s="65">
        <v>60</v>
      </c>
      <c r="C41" s="36">
        <v>45432</v>
      </c>
      <c r="D41" s="36">
        <v>45433</v>
      </c>
      <c r="E41" s="58"/>
      <c r="F41" s="57"/>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57"/>
      <c r="AG41" s="57"/>
    </row>
    <row r="42" spans="1:33" s="2" customFormat="1" ht="30" customHeight="1" thickBot="1" x14ac:dyDescent="0.35">
      <c r="A42" s="48" t="s">
        <v>57</v>
      </c>
      <c r="B42" s="72">
        <v>40</v>
      </c>
      <c r="C42" s="26">
        <v>45433</v>
      </c>
      <c r="D42" s="26">
        <v>45434</v>
      </c>
      <c r="E42" s="56">
        <f t="shared" ref="E42:E53" si="4">IF(OR(ISBLANK(task_start),ISBLANK(task_end)),"",task_end-task_start+1)</f>
        <v>2</v>
      </c>
      <c r="F42" s="57"/>
      <c r="G42" s="57"/>
      <c r="H42" s="57"/>
      <c r="I42" s="57"/>
      <c r="J42" s="57"/>
      <c r="K42" s="57"/>
      <c r="L42" s="57"/>
      <c r="M42" s="57"/>
      <c r="N42" s="57"/>
      <c r="O42" s="57"/>
      <c r="P42" s="57"/>
      <c r="Q42" s="57"/>
      <c r="R42" s="57"/>
      <c r="S42" s="57"/>
      <c r="T42" s="57"/>
      <c r="U42" s="57"/>
      <c r="V42" s="57"/>
      <c r="W42" s="57"/>
      <c r="X42" s="57"/>
      <c r="Y42" s="57"/>
      <c r="Z42" s="57"/>
      <c r="AA42" s="57"/>
      <c r="AB42" s="57"/>
      <c r="AC42" s="57"/>
      <c r="AD42" s="57"/>
      <c r="AE42" s="57"/>
      <c r="AF42" s="57"/>
      <c r="AG42" s="57"/>
    </row>
    <row r="43" spans="1:33" s="2" customFormat="1" ht="30" customHeight="1" thickBot="1" x14ac:dyDescent="0.35">
      <c r="A43" s="49" t="s">
        <v>58</v>
      </c>
      <c r="B43" s="66">
        <v>30</v>
      </c>
      <c r="C43" s="37">
        <v>45433</v>
      </c>
      <c r="D43" s="37">
        <v>45434</v>
      </c>
      <c r="E43" s="8">
        <f t="shared" si="4"/>
        <v>2</v>
      </c>
      <c r="F43" s="57"/>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57"/>
      <c r="AG43" s="57"/>
    </row>
    <row r="44" spans="1:33" s="2" customFormat="1" ht="30" customHeight="1" thickBot="1" x14ac:dyDescent="0.35">
      <c r="A44" s="49" t="s">
        <v>59</v>
      </c>
      <c r="B44" s="66">
        <v>10</v>
      </c>
      <c r="C44" s="37">
        <v>45433</v>
      </c>
      <c r="D44" s="37">
        <v>45434</v>
      </c>
      <c r="E44" s="8">
        <f t="shared" si="4"/>
        <v>2</v>
      </c>
      <c r="F44" s="57"/>
      <c r="G44" s="57"/>
      <c r="H44" s="57"/>
      <c r="I44" s="57"/>
      <c r="J44" s="57"/>
      <c r="K44" s="57"/>
      <c r="L44" s="57"/>
      <c r="M44" s="57"/>
      <c r="N44" s="57"/>
      <c r="O44" s="57"/>
      <c r="P44" s="57"/>
      <c r="Q44" s="57"/>
      <c r="R44" s="59"/>
      <c r="S44" s="59"/>
      <c r="T44" s="57"/>
      <c r="U44" s="57"/>
      <c r="V44" s="57"/>
      <c r="W44" s="57"/>
      <c r="X44" s="57"/>
      <c r="Y44" s="57"/>
      <c r="Z44" s="57"/>
      <c r="AA44" s="57"/>
      <c r="AB44" s="57"/>
      <c r="AC44" s="57"/>
      <c r="AD44" s="57"/>
      <c r="AE44" s="57"/>
      <c r="AF44" s="57"/>
      <c r="AG44" s="57"/>
    </row>
    <row r="45" spans="1:33" s="2" customFormat="1" ht="30" customHeight="1" thickBot="1" x14ac:dyDescent="0.35">
      <c r="A45" s="50" t="s">
        <v>60</v>
      </c>
      <c r="B45" s="73">
        <v>25</v>
      </c>
      <c r="C45" s="28">
        <v>45434</v>
      </c>
      <c r="D45" s="29">
        <v>45435</v>
      </c>
      <c r="E45" s="8">
        <f t="shared" si="4"/>
        <v>2</v>
      </c>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row>
    <row r="46" spans="1:33" s="2" customFormat="1" ht="30" customHeight="1" thickBot="1" x14ac:dyDescent="0.35">
      <c r="A46" s="51" t="s">
        <v>61</v>
      </c>
      <c r="B46" s="67"/>
      <c r="C46" s="30">
        <v>45434</v>
      </c>
      <c r="D46" s="30">
        <v>45435</v>
      </c>
      <c r="E46" s="8">
        <f t="shared" si="4"/>
        <v>2</v>
      </c>
      <c r="F46" s="57"/>
      <c r="G46" s="57"/>
      <c r="H46" s="57"/>
      <c r="I46" s="57"/>
      <c r="J46" s="57"/>
      <c r="K46" s="57"/>
      <c r="L46" s="57"/>
      <c r="M46" s="57"/>
      <c r="N46" s="57"/>
      <c r="O46" s="57"/>
      <c r="P46" s="57"/>
      <c r="Q46" s="57"/>
      <c r="R46" s="57"/>
      <c r="S46" s="57"/>
      <c r="T46" s="57"/>
      <c r="U46" s="57"/>
      <c r="V46" s="57"/>
      <c r="W46" s="57"/>
      <c r="X46" s="57"/>
      <c r="Y46" s="57"/>
      <c r="Z46" s="57"/>
      <c r="AA46" s="57"/>
      <c r="AB46" s="57"/>
      <c r="AC46" s="57"/>
      <c r="AD46" s="57"/>
      <c r="AE46" s="57"/>
      <c r="AF46" s="57"/>
      <c r="AG46" s="57"/>
    </row>
    <row r="47" spans="1:33" s="2" customFormat="1" ht="30" customHeight="1" thickBot="1" x14ac:dyDescent="0.35">
      <c r="A47" s="51" t="s">
        <v>62</v>
      </c>
      <c r="B47" s="67">
        <v>5</v>
      </c>
      <c r="C47" s="30">
        <v>45434</v>
      </c>
      <c r="D47" s="30">
        <v>45435</v>
      </c>
      <c r="E47" s="8">
        <f t="shared" si="4"/>
        <v>2</v>
      </c>
      <c r="F47" s="57"/>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row>
    <row r="48" spans="1:33" s="2" customFormat="1" ht="30" customHeight="1" thickBot="1" x14ac:dyDescent="0.35">
      <c r="A48" s="51" t="s">
        <v>63</v>
      </c>
      <c r="B48" s="67">
        <v>20</v>
      </c>
      <c r="C48" s="30">
        <v>45434</v>
      </c>
      <c r="D48" s="30">
        <v>45435</v>
      </c>
      <c r="E48" s="8">
        <f t="shared" si="4"/>
        <v>2</v>
      </c>
      <c r="F48" s="57"/>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c r="AF48" s="57"/>
      <c r="AG48" s="57"/>
    </row>
    <row r="49" spans="1:33" s="2" customFormat="1" ht="30" customHeight="1" thickBot="1" x14ac:dyDescent="0.35">
      <c r="A49" s="52" t="s">
        <v>64</v>
      </c>
      <c r="B49" s="74">
        <v>70</v>
      </c>
      <c r="C49" s="31">
        <v>45436</v>
      </c>
      <c r="D49" s="32">
        <v>45437</v>
      </c>
      <c r="E49" s="8">
        <f t="shared" si="4"/>
        <v>2</v>
      </c>
      <c r="F49" s="57"/>
      <c r="G49" s="57"/>
      <c r="H49" s="57"/>
      <c r="I49" s="57"/>
      <c r="J49" s="57"/>
      <c r="K49" s="57"/>
      <c r="L49" s="57"/>
      <c r="M49" s="57"/>
      <c r="N49" s="57"/>
      <c r="O49" s="57"/>
      <c r="P49" s="57"/>
      <c r="Q49" s="57"/>
      <c r="R49" s="57"/>
      <c r="S49" s="57"/>
      <c r="T49" s="57"/>
      <c r="U49" s="57"/>
      <c r="V49" s="57"/>
      <c r="W49" s="57"/>
      <c r="X49" s="57"/>
      <c r="Y49" s="57"/>
      <c r="Z49" s="57"/>
      <c r="AA49" s="57"/>
      <c r="AB49" s="57"/>
      <c r="AC49" s="57"/>
      <c r="AD49" s="57"/>
      <c r="AE49" s="57"/>
      <c r="AF49" s="57"/>
      <c r="AG49" s="57"/>
    </row>
    <row r="50" spans="1:33" s="2" customFormat="1" ht="30" customHeight="1" thickBot="1" x14ac:dyDescent="0.35">
      <c r="A50" s="53" t="s">
        <v>65</v>
      </c>
      <c r="B50" s="68"/>
      <c r="C50" s="38">
        <v>45436</v>
      </c>
      <c r="D50" s="38">
        <v>45437</v>
      </c>
      <c r="E50" s="8">
        <f t="shared" si="4"/>
        <v>2</v>
      </c>
      <c r="F50" s="57"/>
      <c r="G50" s="57"/>
      <c r="H50" s="57"/>
      <c r="I50" s="57"/>
      <c r="J50" s="57"/>
      <c r="K50" s="57"/>
      <c r="L50" s="57"/>
      <c r="M50" s="57"/>
      <c r="N50" s="57"/>
      <c r="O50" s="57"/>
      <c r="P50" s="57"/>
      <c r="Q50" s="57"/>
      <c r="R50" s="57"/>
      <c r="S50" s="57"/>
      <c r="T50" s="57"/>
      <c r="U50" s="57"/>
      <c r="V50" s="57"/>
      <c r="W50" s="57"/>
      <c r="X50" s="57"/>
      <c r="Y50" s="57"/>
      <c r="Z50" s="57"/>
      <c r="AA50" s="57"/>
      <c r="AB50" s="57"/>
      <c r="AC50" s="57"/>
      <c r="AD50" s="57"/>
      <c r="AE50" s="57"/>
      <c r="AF50" s="57"/>
      <c r="AG50" s="57"/>
    </row>
    <row r="51" spans="1:33" s="2" customFormat="1" ht="30" customHeight="1" thickBot="1" x14ac:dyDescent="0.35">
      <c r="A51" s="53" t="s">
        <v>66</v>
      </c>
      <c r="B51" s="68">
        <v>10</v>
      </c>
      <c r="C51" s="38">
        <v>45436</v>
      </c>
      <c r="D51" s="38">
        <v>45437</v>
      </c>
      <c r="E51" s="8">
        <f t="shared" si="4"/>
        <v>2</v>
      </c>
      <c r="F51" s="57"/>
      <c r="G51" s="57"/>
      <c r="H51" s="57"/>
      <c r="I51" s="57"/>
      <c r="J51" s="57"/>
      <c r="K51" s="57"/>
      <c r="L51" s="57"/>
      <c r="M51" s="57"/>
      <c r="N51" s="57"/>
      <c r="O51" s="57"/>
      <c r="P51" s="57"/>
      <c r="Q51" s="57"/>
      <c r="R51" s="57"/>
      <c r="S51" s="57"/>
      <c r="T51" s="57"/>
      <c r="U51" s="57"/>
      <c r="V51" s="57"/>
      <c r="W51" s="57"/>
      <c r="X51" s="57"/>
      <c r="Y51" s="57"/>
      <c r="Z51" s="57"/>
      <c r="AA51" s="57"/>
      <c r="AB51" s="57"/>
      <c r="AC51" s="57"/>
      <c r="AD51" s="57"/>
      <c r="AE51" s="57"/>
      <c r="AF51" s="57"/>
      <c r="AG51" s="57"/>
    </row>
    <row r="52" spans="1:33" s="2" customFormat="1" ht="30" customHeight="1" thickBot="1" x14ac:dyDescent="0.35">
      <c r="A52" s="53" t="s">
        <v>67</v>
      </c>
      <c r="B52" s="68"/>
      <c r="C52" s="38">
        <v>45436</v>
      </c>
      <c r="D52" s="38">
        <v>45437</v>
      </c>
      <c r="E52" s="8">
        <f t="shared" si="4"/>
        <v>2</v>
      </c>
      <c r="F52" s="57"/>
      <c r="G52" s="57"/>
      <c r="H52" s="57"/>
      <c r="I52" s="57"/>
      <c r="J52" s="57"/>
      <c r="K52" s="57"/>
      <c r="L52" s="57"/>
      <c r="M52" s="57"/>
      <c r="N52" s="57"/>
      <c r="O52" s="57"/>
      <c r="P52" s="57"/>
      <c r="Q52" s="57"/>
      <c r="R52" s="57"/>
      <c r="S52" s="57"/>
      <c r="T52" s="57"/>
      <c r="U52" s="57"/>
      <c r="V52" s="57"/>
      <c r="W52" s="57"/>
      <c r="X52" s="57"/>
      <c r="Y52" s="57"/>
      <c r="Z52" s="57"/>
      <c r="AA52" s="57"/>
      <c r="AB52" s="57"/>
      <c r="AC52" s="57"/>
      <c r="AD52" s="57"/>
      <c r="AE52" s="57"/>
      <c r="AF52" s="57"/>
      <c r="AG52" s="57"/>
    </row>
    <row r="53" spans="1:33" s="2" customFormat="1" ht="30" customHeight="1" thickBot="1" x14ac:dyDescent="0.35">
      <c r="A53" s="53" t="s">
        <v>68</v>
      </c>
      <c r="B53" s="68">
        <v>60</v>
      </c>
      <c r="C53" s="38">
        <v>45436</v>
      </c>
      <c r="D53" s="38">
        <v>45437</v>
      </c>
      <c r="E53" s="8">
        <f t="shared" si="4"/>
        <v>2</v>
      </c>
      <c r="F53" s="57"/>
      <c r="G53" s="57"/>
      <c r="H53" s="57"/>
      <c r="I53" s="57"/>
      <c r="J53" s="57"/>
      <c r="K53" s="57"/>
      <c r="L53" s="57"/>
      <c r="M53" s="57"/>
      <c r="N53" s="57"/>
      <c r="O53" s="57"/>
      <c r="P53" s="57"/>
      <c r="Q53" s="57"/>
      <c r="R53" s="57"/>
      <c r="S53" s="57"/>
      <c r="T53" s="57"/>
      <c r="U53" s="57"/>
      <c r="V53" s="57"/>
      <c r="W53" s="57"/>
      <c r="X53" s="57"/>
      <c r="Y53" s="57"/>
      <c r="Z53" s="57"/>
      <c r="AA53" s="57"/>
      <c r="AB53" s="57"/>
      <c r="AC53" s="57"/>
      <c r="AD53" s="57"/>
      <c r="AE53" s="57"/>
      <c r="AF53" s="57"/>
      <c r="AG53" s="57"/>
    </row>
    <row r="54" spans="1:33" s="2" customFormat="1" ht="30" customHeight="1" thickBot="1" x14ac:dyDescent="0.35">
      <c r="A54" s="46" t="s">
        <v>69</v>
      </c>
      <c r="B54" s="71">
        <v>150</v>
      </c>
      <c r="C54" s="24">
        <v>45437</v>
      </c>
      <c r="D54" s="25">
        <v>45438</v>
      </c>
      <c r="E54" s="8">
        <f t="shared" ref="E54:E57" si="5">IF(OR(ISBLANK(task_start),ISBLANK(task_end)),"",task_end-task_start+1)</f>
        <v>2</v>
      </c>
      <c r="F54" s="57"/>
      <c r="G54" s="57"/>
      <c r="H54" s="57"/>
      <c r="I54" s="57"/>
      <c r="J54" s="57"/>
      <c r="K54" s="57"/>
      <c r="L54" s="57"/>
      <c r="M54" s="57"/>
      <c r="N54" s="57"/>
      <c r="O54" s="57"/>
      <c r="P54" s="57"/>
      <c r="Q54" s="57"/>
      <c r="R54" s="57"/>
      <c r="S54" s="57"/>
      <c r="T54" s="57"/>
      <c r="U54" s="57"/>
      <c r="V54" s="57"/>
      <c r="W54" s="57"/>
      <c r="X54" s="57"/>
      <c r="Y54" s="57"/>
      <c r="Z54" s="57"/>
      <c r="AA54" s="57"/>
      <c r="AB54" s="57"/>
      <c r="AC54" s="57"/>
      <c r="AD54" s="57"/>
      <c r="AE54" s="57"/>
      <c r="AF54" s="57"/>
      <c r="AG54" s="57"/>
    </row>
    <row r="55" spans="1:33" s="2" customFormat="1" ht="30" customHeight="1" thickBot="1" x14ac:dyDescent="0.35">
      <c r="A55" s="47" t="s">
        <v>70</v>
      </c>
      <c r="B55" s="65"/>
      <c r="C55" s="36">
        <v>45437</v>
      </c>
      <c r="D55" s="36">
        <v>45438</v>
      </c>
      <c r="E55" s="8">
        <f t="shared" si="5"/>
        <v>2</v>
      </c>
      <c r="F55" s="57"/>
      <c r="G55" s="57"/>
      <c r="H55" s="57"/>
      <c r="I55" s="57"/>
      <c r="J55" s="57"/>
      <c r="K55" s="57"/>
      <c r="L55" s="57"/>
      <c r="M55" s="57"/>
      <c r="N55" s="57"/>
      <c r="O55" s="57"/>
      <c r="P55" s="57"/>
      <c r="Q55" s="57"/>
      <c r="R55" s="57"/>
      <c r="S55" s="57"/>
      <c r="T55" s="57"/>
      <c r="U55" s="57"/>
      <c r="V55" s="57"/>
      <c r="W55" s="57"/>
      <c r="X55" s="57"/>
      <c r="Y55" s="57"/>
      <c r="Z55" s="57"/>
      <c r="AA55" s="57"/>
      <c r="AB55" s="57"/>
      <c r="AC55" s="57"/>
      <c r="AD55" s="57"/>
      <c r="AE55" s="57"/>
      <c r="AF55" s="57"/>
      <c r="AG55" s="57"/>
    </row>
    <row r="56" spans="1:33" s="2" customFormat="1" ht="30" customHeight="1" thickBot="1" x14ac:dyDescent="0.35">
      <c r="A56" s="47" t="s">
        <v>71</v>
      </c>
      <c r="B56" s="65">
        <v>10</v>
      </c>
      <c r="C56" s="36">
        <v>45437</v>
      </c>
      <c r="D56" s="36">
        <v>45438</v>
      </c>
      <c r="E56" s="8">
        <f t="shared" si="5"/>
        <v>2</v>
      </c>
      <c r="F56" s="57"/>
      <c r="G56" s="57"/>
      <c r="H56" s="57"/>
      <c r="I56" s="57"/>
      <c r="J56" s="57"/>
      <c r="K56" s="57"/>
      <c r="L56" s="57"/>
      <c r="M56" s="57"/>
      <c r="N56" s="57"/>
      <c r="O56" s="57"/>
      <c r="P56" s="57"/>
      <c r="Q56" s="57"/>
      <c r="R56" s="59"/>
      <c r="S56" s="59"/>
      <c r="T56" s="57"/>
      <c r="U56" s="57"/>
      <c r="V56" s="57"/>
      <c r="W56" s="57"/>
      <c r="X56" s="57"/>
      <c r="Y56" s="57"/>
      <c r="Z56" s="57"/>
      <c r="AA56" s="57"/>
      <c r="AB56" s="57"/>
      <c r="AC56" s="57"/>
      <c r="AD56" s="57"/>
      <c r="AE56" s="57"/>
      <c r="AF56" s="57"/>
      <c r="AG56" s="57"/>
    </row>
    <row r="57" spans="1:33" s="2" customFormat="1" ht="30" customHeight="1" thickBot="1" x14ac:dyDescent="0.35">
      <c r="A57" s="47" t="s">
        <v>72</v>
      </c>
      <c r="B57" s="65">
        <v>10</v>
      </c>
      <c r="C57" s="36">
        <v>45437</v>
      </c>
      <c r="D57" s="36">
        <v>45438</v>
      </c>
      <c r="E57" s="8">
        <f t="shared" si="5"/>
        <v>2</v>
      </c>
      <c r="F57" s="57"/>
      <c r="G57" s="57"/>
      <c r="H57" s="57"/>
      <c r="I57" s="57"/>
      <c r="J57" s="57"/>
      <c r="K57" s="57"/>
      <c r="L57" s="57"/>
      <c r="M57" s="57"/>
      <c r="N57" s="57"/>
      <c r="O57" s="57"/>
      <c r="P57" s="57"/>
      <c r="Q57" s="57"/>
      <c r="R57" s="57"/>
      <c r="S57" s="57"/>
      <c r="T57" s="57"/>
      <c r="U57" s="57"/>
      <c r="V57" s="57"/>
      <c r="W57" s="57"/>
      <c r="X57" s="57"/>
      <c r="Y57" s="57"/>
      <c r="Z57" s="57"/>
      <c r="AA57" s="57"/>
      <c r="AB57" s="57"/>
      <c r="AC57" s="57"/>
      <c r="AD57" s="57"/>
      <c r="AE57" s="57"/>
      <c r="AF57" s="57"/>
      <c r="AG57" s="57"/>
    </row>
    <row r="58" spans="1:33" s="2" customFormat="1" ht="30" customHeight="1" thickBot="1" x14ac:dyDescent="0.35">
      <c r="A58" s="47" t="s">
        <v>73</v>
      </c>
      <c r="B58" s="65"/>
      <c r="C58" s="36">
        <v>45437</v>
      </c>
      <c r="D58" s="36">
        <v>45438</v>
      </c>
      <c r="E58" s="54"/>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row>
    <row r="59" spans="1:33" s="2" customFormat="1" ht="30" customHeight="1" thickBot="1" x14ac:dyDescent="0.35">
      <c r="A59" s="47" t="s">
        <v>74</v>
      </c>
      <c r="B59" s="65">
        <v>20</v>
      </c>
      <c r="C59" s="36">
        <v>45437</v>
      </c>
      <c r="D59" s="36">
        <v>45438</v>
      </c>
      <c r="E59" s="54"/>
      <c r="F59" s="57"/>
      <c r="G59" s="57"/>
      <c r="H59" s="57"/>
      <c r="I59" s="57"/>
      <c r="J59" s="57"/>
      <c r="K59" s="57"/>
      <c r="L59" s="57"/>
      <c r="M59" s="57"/>
      <c r="N59" s="57"/>
      <c r="O59" s="57"/>
      <c r="P59" s="57"/>
      <c r="Q59" s="57"/>
      <c r="R59" s="57"/>
      <c r="S59" s="57"/>
      <c r="T59" s="57"/>
      <c r="U59" s="57"/>
      <c r="V59" s="57"/>
      <c r="W59" s="57"/>
      <c r="X59" s="57"/>
      <c r="Y59" s="57"/>
      <c r="Z59" s="57"/>
      <c r="AA59" s="57"/>
      <c r="AB59" s="57"/>
      <c r="AC59" s="57"/>
      <c r="AD59" s="57"/>
      <c r="AE59" s="57"/>
      <c r="AF59" s="57"/>
      <c r="AG59" s="57"/>
    </row>
    <row r="60" spans="1:33" s="2" customFormat="1" ht="30" customHeight="1" thickBot="1" x14ac:dyDescent="0.35">
      <c r="A60" s="47" t="s">
        <v>75</v>
      </c>
      <c r="B60" s="65">
        <v>10</v>
      </c>
      <c r="C60" s="36">
        <v>45437</v>
      </c>
      <c r="D60" s="36">
        <v>45438</v>
      </c>
      <c r="E60" s="54"/>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row>
    <row r="61" spans="1:33" s="2" customFormat="1" ht="30" customHeight="1" thickBot="1" x14ac:dyDescent="0.35">
      <c r="A61" s="47" t="s">
        <v>76</v>
      </c>
      <c r="B61" s="65">
        <v>30</v>
      </c>
      <c r="C61" s="36">
        <v>45438</v>
      </c>
      <c r="D61" s="36">
        <v>45438</v>
      </c>
      <c r="E61" s="54"/>
      <c r="F61" s="57"/>
      <c r="G61" s="57"/>
      <c r="H61" s="57"/>
      <c r="I61" s="57"/>
      <c r="J61" s="57"/>
      <c r="K61" s="57"/>
      <c r="L61" s="57"/>
      <c r="M61" s="57"/>
      <c r="N61" s="57"/>
      <c r="O61" s="57"/>
      <c r="P61" s="57"/>
      <c r="Q61" s="57"/>
      <c r="R61" s="57"/>
      <c r="S61" s="57"/>
      <c r="T61" s="57"/>
      <c r="U61" s="57"/>
      <c r="V61" s="57"/>
      <c r="W61" s="57"/>
      <c r="X61" s="57"/>
      <c r="Y61" s="57"/>
      <c r="Z61" s="57"/>
      <c r="AA61" s="57"/>
      <c r="AB61" s="57"/>
      <c r="AC61" s="57"/>
      <c r="AD61" s="57"/>
      <c r="AE61" s="57"/>
      <c r="AF61" s="57"/>
      <c r="AG61" s="57"/>
    </row>
    <row r="62" spans="1:33" s="2" customFormat="1" ht="30" customHeight="1" thickBot="1" x14ac:dyDescent="0.35">
      <c r="A62" s="47" t="s">
        <v>77</v>
      </c>
      <c r="B62" s="65"/>
      <c r="C62" s="36">
        <v>45438</v>
      </c>
      <c r="D62" s="36">
        <v>45438</v>
      </c>
      <c r="E62" s="54"/>
      <c r="F62" s="57"/>
      <c r="G62" s="57"/>
      <c r="H62" s="57"/>
      <c r="I62" s="57"/>
      <c r="J62" s="57"/>
      <c r="K62" s="57"/>
      <c r="L62" s="57"/>
      <c r="M62" s="57"/>
      <c r="N62" s="57"/>
      <c r="O62" s="57"/>
      <c r="P62" s="57"/>
      <c r="Q62" s="57"/>
      <c r="R62" s="57"/>
      <c r="S62" s="57"/>
      <c r="T62" s="57"/>
      <c r="U62" s="57"/>
      <c r="V62" s="57"/>
      <c r="W62" s="57"/>
      <c r="X62" s="57"/>
      <c r="Y62" s="57"/>
      <c r="Z62" s="57"/>
      <c r="AA62" s="57"/>
      <c r="AB62" s="57"/>
      <c r="AC62" s="57"/>
      <c r="AD62" s="57"/>
      <c r="AE62" s="57"/>
      <c r="AF62" s="57"/>
      <c r="AG62" s="57"/>
    </row>
    <row r="63" spans="1:33" s="2" customFormat="1" ht="30" customHeight="1" thickBot="1" x14ac:dyDescent="0.35">
      <c r="A63" s="47" t="s">
        <v>78</v>
      </c>
      <c r="B63" s="65">
        <v>30</v>
      </c>
      <c r="C63" s="36">
        <v>45438</v>
      </c>
      <c r="D63" s="36">
        <v>45438</v>
      </c>
      <c r="E63" s="54"/>
      <c r="F63" s="57"/>
      <c r="G63" s="57"/>
      <c r="H63" s="57"/>
      <c r="I63" s="57"/>
      <c r="J63" s="57"/>
      <c r="K63" s="57"/>
      <c r="L63" s="57"/>
      <c r="M63" s="57"/>
      <c r="N63" s="57"/>
      <c r="O63" s="57"/>
      <c r="P63" s="57"/>
      <c r="Q63" s="57"/>
      <c r="R63" s="57"/>
      <c r="S63" s="57"/>
      <c r="T63" s="57"/>
      <c r="U63" s="57"/>
      <c r="V63" s="57"/>
      <c r="W63" s="57"/>
      <c r="X63" s="57"/>
      <c r="Y63" s="57"/>
      <c r="Z63" s="57"/>
      <c r="AA63" s="57"/>
      <c r="AB63" s="57"/>
      <c r="AC63" s="57"/>
      <c r="AD63" s="57"/>
      <c r="AE63" s="57"/>
      <c r="AF63" s="57"/>
      <c r="AG63" s="57"/>
    </row>
    <row r="64" spans="1:33" s="2" customFormat="1" ht="30" customHeight="1" thickBot="1" x14ac:dyDescent="0.35">
      <c r="A64" s="47" t="s">
        <v>79</v>
      </c>
      <c r="B64" s="65"/>
      <c r="C64" s="36">
        <v>45438</v>
      </c>
      <c r="D64" s="36">
        <v>45438</v>
      </c>
      <c r="E64" s="54"/>
      <c r="F64" s="57"/>
      <c r="G64" s="57"/>
      <c r="H64" s="57"/>
      <c r="I64" s="57"/>
      <c r="J64" s="57"/>
      <c r="K64" s="57"/>
      <c r="L64" s="57"/>
      <c r="M64" s="57"/>
      <c r="N64" s="57"/>
      <c r="O64" s="57"/>
      <c r="P64" s="57"/>
      <c r="Q64" s="57"/>
      <c r="R64" s="57"/>
      <c r="S64" s="57"/>
      <c r="T64" s="57"/>
      <c r="U64" s="57"/>
      <c r="V64" s="57"/>
      <c r="W64" s="57"/>
      <c r="X64" s="57"/>
      <c r="Y64" s="57"/>
      <c r="Z64" s="57"/>
      <c r="AA64" s="57"/>
      <c r="AB64" s="57"/>
      <c r="AC64" s="57"/>
      <c r="AD64" s="57"/>
      <c r="AE64" s="57"/>
      <c r="AF64" s="57"/>
      <c r="AG64" s="57"/>
    </row>
    <row r="65" spans="1:33" s="2" customFormat="1" ht="30" customHeight="1" thickBot="1" x14ac:dyDescent="0.35">
      <c r="A65" s="47" t="s">
        <v>80</v>
      </c>
      <c r="B65" s="65">
        <v>20</v>
      </c>
      <c r="C65" s="36">
        <v>45438</v>
      </c>
      <c r="D65" s="36">
        <v>45438</v>
      </c>
      <c r="E65" s="54"/>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row>
    <row r="66" spans="1:33" s="2" customFormat="1" ht="30" customHeight="1" thickBot="1" x14ac:dyDescent="0.35">
      <c r="A66" s="47" t="s">
        <v>81</v>
      </c>
      <c r="B66" s="65">
        <v>20</v>
      </c>
      <c r="C66" s="36">
        <v>45438</v>
      </c>
      <c r="D66" s="36">
        <v>45438</v>
      </c>
      <c r="E66" s="54"/>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row>
    <row r="67" spans="1:33" s="2" customFormat="1" ht="30" customHeight="1" thickBot="1" x14ac:dyDescent="0.35">
      <c r="A67" s="48" t="s">
        <v>82</v>
      </c>
      <c r="B67" s="72">
        <v>197</v>
      </c>
      <c r="C67" s="26">
        <v>45439</v>
      </c>
      <c r="D67" s="27">
        <v>45439</v>
      </c>
      <c r="E67" s="8">
        <f t="shared" ref="E67:E70" si="6">IF(OR(ISBLANK(task_start),ISBLANK(task_end)),"",task_end-task_start+1)</f>
        <v>1</v>
      </c>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row>
    <row r="68" spans="1:33" s="2" customFormat="1" ht="30" customHeight="1" thickBot="1" x14ac:dyDescent="0.35">
      <c r="A68" s="49" t="s">
        <v>83</v>
      </c>
      <c r="B68" s="66"/>
      <c r="C68" s="37">
        <v>45439</v>
      </c>
      <c r="D68" s="37">
        <v>45439</v>
      </c>
      <c r="E68" s="8">
        <f t="shared" si="6"/>
        <v>1</v>
      </c>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row>
    <row r="69" spans="1:33" s="2" customFormat="1" ht="30" customHeight="1" thickBot="1" x14ac:dyDescent="0.35">
      <c r="A69" s="49" t="s">
        <v>84</v>
      </c>
      <c r="B69" s="66">
        <v>30</v>
      </c>
      <c r="C69" s="37">
        <v>45439</v>
      </c>
      <c r="D69" s="37">
        <v>45439</v>
      </c>
      <c r="E69" s="8">
        <f t="shared" si="6"/>
        <v>1</v>
      </c>
      <c r="F69" s="57"/>
      <c r="G69" s="57"/>
      <c r="H69" s="57"/>
      <c r="I69" s="57"/>
      <c r="J69" s="57"/>
      <c r="K69" s="57"/>
      <c r="L69" s="57"/>
      <c r="M69" s="57"/>
      <c r="N69" s="57"/>
      <c r="O69" s="57"/>
      <c r="P69" s="57"/>
      <c r="Q69" s="57"/>
      <c r="R69" s="59"/>
      <c r="S69" s="59"/>
      <c r="T69" s="57"/>
      <c r="U69" s="57"/>
      <c r="V69" s="57"/>
      <c r="W69" s="57"/>
      <c r="X69" s="57"/>
      <c r="Y69" s="57"/>
      <c r="Z69" s="57"/>
      <c r="AA69" s="57"/>
      <c r="AB69" s="57"/>
      <c r="AC69" s="57"/>
      <c r="AD69" s="57"/>
      <c r="AE69" s="57"/>
      <c r="AF69" s="57"/>
      <c r="AG69" s="57"/>
    </row>
    <row r="70" spans="1:33" s="2" customFormat="1" ht="30" customHeight="1" thickBot="1" x14ac:dyDescent="0.35">
      <c r="A70" s="49" t="s">
        <v>85</v>
      </c>
      <c r="B70" s="66">
        <v>15</v>
      </c>
      <c r="C70" s="37">
        <v>45439</v>
      </c>
      <c r="D70" s="37">
        <v>45439</v>
      </c>
      <c r="E70" s="8">
        <f t="shared" si="6"/>
        <v>1</v>
      </c>
      <c r="F70" s="57"/>
      <c r="G70" s="57"/>
      <c r="H70" s="57"/>
      <c r="I70" s="57"/>
      <c r="J70" s="57"/>
      <c r="K70" s="57"/>
      <c r="L70" s="57"/>
      <c r="M70" s="57"/>
      <c r="N70" s="57"/>
      <c r="O70" s="57"/>
      <c r="P70" s="57"/>
      <c r="Q70" s="57"/>
      <c r="R70" s="57"/>
      <c r="S70" s="57"/>
      <c r="T70" s="57"/>
      <c r="U70" s="57"/>
      <c r="V70" s="59"/>
      <c r="W70" s="57"/>
      <c r="X70" s="57"/>
      <c r="Y70" s="57"/>
      <c r="Z70" s="57"/>
      <c r="AA70" s="57"/>
      <c r="AB70" s="57"/>
      <c r="AC70" s="57"/>
      <c r="AD70" s="57"/>
      <c r="AE70" s="57"/>
      <c r="AF70" s="57"/>
      <c r="AG70" s="57"/>
    </row>
    <row r="71" spans="1:33" s="2" customFormat="1" ht="30" customHeight="1" thickBot="1" x14ac:dyDescent="0.35">
      <c r="A71" s="49" t="s">
        <v>86</v>
      </c>
      <c r="B71" s="66"/>
      <c r="C71" s="37">
        <v>45439</v>
      </c>
      <c r="D71" s="37">
        <v>45439</v>
      </c>
      <c r="E71" s="8"/>
      <c r="F71" s="57"/>
      <c r="G71" s="57"/>
      <c r="H71" s="57"/>
      <c r="I71" s="57"/>
      <c r="J71" s="57"/>
      <c r="K71" s="57"/>
      <c r="L71" s="57"/>
      <c r="M71" s="57"/>
      <c r="N71" s="57"/>
      <c r="O71" s="57"/>
      <c r="P71" s="57"/>
      <c r="Q71" s="57"/>
      <c r="R71" s="57"/>
      <c r="S71" s="57"/>
      <c r="T71" s="57"/>
      <c r="U71" s="57"/>
      <c r="V71" s="59"/>
      <c r="W71" s="57"/>
      <c r="X71" s="57"/>
      <c r="Y71" s="57"/>
      <c r="Z71" s="57"/>
      <c r="AA71" s="57"/>
      <c r="AB71" s="57"/>
      <c r="AC71" s="57"/>
      <c r="AD71" s="57"/>
      <c r="AE71" s="57"/>
      <c r="AF71" s="57"/>
      <c r="AG71" s="57"/>
    </row>
    <row r="72" spans="1:33" s="2" customFormat="1" ht="30" customHeight="1" thickBot="1" x14ac:dyDescent="0.35">
      <c r="A72" s="49" t="s">
        <v>87</v>
      </c>
      <c r="B72" s="66">
        <v>40</v>
      </c>
      <c r="C72" s="37">
        <v>45439</v>
      </c>
      <c r="D72" s="37">
        <v>45439</v>
      </c>
      <c r="E72" s="8"/>
      <c r="F72" s="57"/>
      <c r="G72" s="57"/>
      <c r="H72" s="57"/>
      <c r="I72" s="57"/>
      <c r="J72" s="57"/>
      <c r="K72" s="57"/>
      <c r="L72" s="57"/>
      <c r="M72" s="57"/>
      <c r="N72" s="57"/>
      <c r="O72" s="57"/>
      <c r="P72" s="57"/>
      <c r="Q72" s="57"/>
      <c r="R72" s="57"/>
      <c r="S72" s="57"/>
      <c r="T72" s="57"/>
      <c r="U72" s="57"/>
      <c r="V72" s="59"/>
      <c r="W72" s="57"/>
      <c r="X72" s="57"/>
      <c r="Y72" s="57"/>
      <c r="Z72" s="57"/>
      <c r="AA72" s="57"/>
      <c r="AB72" s="57"/>
      <c r="AC72" s="57"/>
      <c r="AD72" s="57"/>
      <c r="AE72" s="57"/>
      <c r="AF72" s="57"/>
      <c r="AG72" s="57"/>
    </row>
    <row r="73" spans="1:33" s="2" customFormat="1" ht="30" customHeight="1" thickBot="1" x14ac:dyDescent="0.35">
      <c r="A73" s="49" t="s">
        <v>88</v>
      </c>
      <c r="B73" s="66">
        <v>80</v>
      </c>
      <c r="C73" s="37">
        <v>45439</v>
      </c>
      <c r="D73" s="37">
        <v>45439</v>
      </c>
      <c r="E73" s="54"/>
      <c r="F73" s="57"/>
      <c r="G73" s="57"/>
      <c r="H73" s="57"/>
      <c r="I73" s="57"/>
      <c r="J73" s="57"/>
      <c r="K73" s="57"/>
      <c r="L73" s="57"/>
      <c r="M73" s="57"/>
      <c r="N73" s="57"/>
      <c r="O73" s="57"/>
      <c r="P73" s="57"/>
      <c r="Q73" s="57"/>
      <c r="R73" s="57"/>
      <c r="S73" s="57"/>
      <c r="T73" s="57"/>
      <c r="U73" s="57"/>
      <c r="V73" s="59"/>
      <c r="W73" s="57"/>
      <c r="X73" s="57"/>
      <c r="Y73" s="57"/>
      <c r="Z73" s="57"/>
      <c r="AA73" s="57"/>
      <c r="AB73" s="57"/>
      <c r="AC73" s="57"/>
      <c r="AD73" s="57"/>
      <c r="AE73" s="57"/>
      <c r="AF73" s="57"/>
      <c r="AG73" s="57"/>
    </row>
    <row r="74" spans="1:33" s="2" customFormat="1" ht="30" customHeight="1" thickBot="1" x14ac:dyDescent="0.35">
      <c r="A74" s="49" t="s">
        <v>89</v>
      </c>
      <c r="B74" s="66">
        <v>30</v>
      </c>
      <c r="C74" s="37">
        <v>45439</v>
      </c>
      <c r="D74" s="37">
        <v>45439</v>
      </c>
      <c r="E74" s="54"/>
      <c r="F74" s="57"/>
      <c r="G74" s="57"/>
      <c r="H74" s="57"/>
      <c r="I74" s="57"/>
      <c r="J74" s="57"/>
      <c r="K74" s="57"/>
      <c r="L74" s="57"/>
      <c r="M74" s="57"/>
      <c r="N74" s="57"/>
      <c r="O74" s="57"/>
      <c r="P74" s="57"/>
      <c r="Q74" s="57"/>
      <c r="R74" s="57"/>
      <c r="S74" s="57"/>
      <c r="T74" s="57"/>
      <c r="U74" s="57"/>
      <c r="V74" s="59"/>
      <c r="W74" s="57"/>
      <c r="X74" s="57"/>
      <c r="Y74" s="57"/>
      <c r="Z74" s="57"/>
      <c r="AA74" s="57"/>
      <c r="AB74" s="57"/>
      <c r="AC74" s="57"/>
      <c r="AD74" s="57"/>
      <c r="AE74" s="57"/>
      <c r="AF74" s="57"/>
      <c r="AG74" s="57"/>
    </row>
    <row r="75" spans="1:33" s="2" customFormat="1" ht="30" customHeight="1" thickBot="1" x14ac:dyDescent="0.35">
      <c r="A75" s="49" t="s">
        <v>90</v>
      </c>
      <c r="B75" s="66"/>
      <c r="C75" s="37">
        <v>45439</v>
      </c>
      <c r="D75" s="37">
        <v>45439</v>
      </c>
      <c r="E75" s="54"/>
      <c r="F75" s="57"/>
      <c r="G75" s="57"/>
      <c r="H75" s="57"/>
      <c r="I75" s="57"/>
      <c r="J75" s="57"/>
      <c r="K75" s="57"/>
      <c r="L75" s="57"/>
      <c r="M75" s="57"/>
      <c r="N75" s="57"/>
      <c r="O75" s="57"/>
      <c r="P75" s="57"/>
      <c r="Q75" s="57"/>
      <c r="R75" s="57"/>
      <c r="S75" s="57"/>
      <c r="T75" s="57"/>
      <c r="U75" s="57"/>
      <c r="V75" s="59"/>
      <c r="W75" s="57"/>
      <c r="X75" s="57"/>
      <c r="Y75" s="57"/>
      <c r="Z75" s="57"/>
      <c r="AA75" s="57"/>
      <c r="AB75" s="57"/>
      <c r="AC75" s="57"/>
      <c r="AD75" s="57"/>
      <c r="AE75" s="57"/>
      <c r="AF75" s="57"/>
      <c r="AG75" s="57"/>
    </row>
    <row r="76" spans="1:33" s="2" customFormat="1" ht="30" customHeight="1" thickBot="1" x14ac:dyDescent="0.35">
      <c r="A76" s="49" t="s">
        <v>91</v>
      </c>
      <c r="B76" s="66">
        <v>1</v>
      </c>
      <c r="C76" s="37">
        <v>45439</v>
      </c>
      <c r="D76" s="37">
        <v>45439</v>
      </c>
      <c r="E76" s="54"/>
      <c r="F76" s="57"/>
      <c r="G76" s="57"/>
      <c r="H76" s="57"/>
      <c r="I76" s="57"/>
      <c r="J76" s="57"/>
      <c r="K76" s="57"/>
      <c r="L76" s="57"/>
      <c r="M76" s="57"/>
      <c r="N76" s="57"/>
      <c r="O76" s="57"/>
      <c r="P76" s="57"/>
      <c r="Q76" s="57"/>
      <c r="R76" s="57"/>
      <c r="S76" s="57"/>
      <c r="T76" s="57"/>
      <c r="U76" s="57"/>
      <c r="V76" s="59"/>
      <c r="W76" s="57"/>
      <c r="X76" s="57"/>
      <c r="Y76" s="57"/>
      <c r="Z76" s="57"/>
      <c r="AA76" s="57"/>
      <c r="AB76" s="57"/>
      <c r="AC76" s="57"/>
      <c r="AD76" s="57"/>
      <c r="AE76" s="57"/>
      <c r="AF76" s="57"/>
      <c r="AG76" s="57"/>
    </row>
    <row r="77" spans="1:33" s="2" customFormat="1" ht="30" customHeight="1" thickBot="1" x14ac:dyDescent="0.35">
      <c r="A77" s="49" t="s">
        <v>92</v>
      </c>
      <c r="B77" s="66">
        <v>1</v>
      </c>
      <c r="C77" s="37">
        <v>45439</v>
      </c>
      <c r="D77" s="37">
        <v>45439</v>
      </c>
      <c r="E77" s="54"/>
      <c r="F77" s="57"/>
      <c r="G77" s="57"/>
      <c r="H77" s="57"/>
      <c r="I77" s="57"/>
      <c r="J77" s="57"/>
      <c r="K77" s="57"/>
      <c r="L77" s="57"/>
      <c r="M77" s="57"/>
      <c r="N77" s="57"/>
      <c r="O77" s="57"/>
      <c r="P77" s="57"/>
      <c r="Q77" s="57"/>
      <c r="R77" s="57"/>
      <c r="S77" s="57"/>
      <c r="T77" s="57"/>
      <c r="U77" s="57"/>
      <c r="V77" s="59"/>
      <c r="W77" s="57"/>
      <c r="X77" s="57"/>
      <c r="Y77" s="57"/>
      <c r="Z77" s="57"/>
      <c r="AA77" s="57"/>
      <c r="AB77" s="57"/>
      <c r="AC77" s="57"/>
      <c r="AD77" s="57"/>
      <c r="AE77" s="57"/>
      <c r="AF77" s="57"/>
      <c r="AG77" s="57"/>
    </row>
    <row r="78" spans="1:33" s="2" customFormat="1" ht="30" customHeight="1" thickBot="1" x14ac:dyDescent="0.35">
      <c r="A78" s="50" t="s">
        <v>93</v>
      </c>
      <c r="B78" s="73">
        <v>115</v>
      </c>
      <c r="C78" s="28">
        <v>45440</v>
      </c>
      <c r="D78" s="29">
        <v>45440</v>
      </c>
      <c r="E78" s="8">
        <f t="shared" ref="E78:E83" si="7">IF(OR(ISBLANK(task_start),ISBLANK(task_end)),"",task_end-task_start+1)</f>
        <v>1</v>
      </c>
      <c r="F78" s="57"/>
      <c r="G78" s="57"/>
      <c r="H78" s="57"/>
      <c r="I78" s="57"/>
      <c r="J78" s="57"/>
      <c r="K78" s="57"/>
      <c r="L78" s="57"/>
      <c r="M78" s="57"/>
      <c r="N78" s="57"/>
      <c r="O78" s="57"/>
      <c r="P78" s="57"/>
      <c r="Q78" s="57"/>
      <c r="R78" s="57"/>
      <c r="S78" s="57"/>
      <c r="T78" s="57"/>
      <c r="U78" s="57"/>
      <c r="V78" s="57"/>
      <c r="W78" s="57"/>
      <c r="X78" s="57"/>
      <c r="Y78" s="57"/>
      <c r="Z78" s="57"/>
      <c r="AA78" s="57"/>
      <c r="AB78" s="57"/>
      <c r="AC78" s="57"/>
      <c r="AD78" s="57"/>
      <c r="AE78" s="57"/>
      <c r="AF78" s="57"/>
      <c r="AG78" s="57"/>
    </row>
    <row r="79" spans="1:33" s="2" customFormat="1" ht="30" customHeight="1" thickBot="1" x14ac:dyDescent="0.35">
      <c r="A79" s="51" t="s">
        <v>94</v>
      </c>
      <c r="B79" s="67"/>
      <c r="C79" s="30">
        <v>45440</v>
      </c>
      <c r="D79" s="30">
        <v>45440</v>
      </c>
      <c r="E79" s="8">
        <f t="shared" si="7"/>
        <v>1</v>
      </c>
      <c r="F79" s="57"/>
      <c r="G79" s="57"/>
      <c r="H79" s="57"/>
      <c r="I79" s="57"/>
      <c r="J79" s="57"/>
      <c r="K79" s="57"/>
      <c r="L79" s="57"/>
      <c r="M79" s="57"/>
      <c r="N79" s="57"/>
      <c r="O79" s="57"/>
      <c r="P79" s="57"/>
      <c r="Q79" s="57"/>
      <c r="R79" s="57"/>
      <c r="S79" s="57"/>
      <c r="T79" s="57"/>
      <c r="U79" s="57"/>
      <c r="V79" s="57"/>
      <c r="W79" s="57"/>
      <c r="X79" s="57"/>
      <c r="Y79" s="57"/>
      <c r="Z79" s="57"/>
      <c r="AA79" s="57"/>
      <c r="AB79" s="57"/>
      <c r="AC79" s="57"/>
      <c r="AD79" s="57"/>
      <c r="AE79" s="57"/>
      <c r="AF79" s="57"/>
      <c r="AG79" s="57"/>
    </row>
    <row r="80" spans="1:33" s="2" customFormat="1" ht="30" customHeight="1" thickBot="1" x14ac:dyDescent="0.35">
      <c r="A80" s="51" t="s">
        <v>95</v>
      </c>
      <c r="B80" s="67">
        <v>10</v>
      </c>
      <c r="C80" s="30">
        <v>45440</v>
      </c>
      <c r="D80" s="30">
        <v>45440</v>
      </c>
      <c r="E80" s="8">
        <f t="shared" si="7"/>
        <v>1</v>
      </c>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row>
    <row r="81" spans="1:33" s="2" customFormat="1" ht="30" customHeight="1" thickBot="1" x14ac:dyDescent="0.35">
      <c r="A81" s="51" t="s">
        <v>96</v>
      </c>
      <c r="B81" s="67">
        <v>10</v>
      </c>
      <c r="C81" s="30">
        <v>45440</v>
      </c>
      <c r="D81" s="30">
        <v>45440</v>
      </c>
      <c r="E81" s="8">
        <f t="shared" si="7"/>
        <v>1</v>
      </c>
      <c r="F81" s="57"/>
      <c r="G81" s="57"/>
      <c r="H81" s="57"/>
      <c r="I81" s="57"/>
      <c r="J81" s="57"/>
      <c r="K81" s="57"/>
      <c r="L81" s="57"/>
      <c r="M81" s="57"/>
      <c r="N81" s="57"/>
      <c r="O81" s="57"/>
      <c r="P81" s="57"/>
      <c r="Q81" s="57"/>
      <c r="R81" s="57"/>
      <c r="S81" s="57"/>
      <c r="T81" s="57"/>
      <c r="U81" s="57"/>
      <c r="V81" s="57"/>
      <c r="W81" s="57"/>
      <c r="X81" s="57"/>
      <c r="Y81" s="57"/>
      <c r="Z81" s="57"/>
      <c r="AA81" s="57"/>
      <c r="AB81" s="57"/>
      <c r="AC81" s="57"/>
      <c r="AD81" s="57"/>
      <c r="AE81" s="57"/>
      <c r="AF81" s="57"/>
      <c r="AG81" s="57"/>
    </row>
    <row r="82" spans="1:33" s="2" customFormat="1" ht="30" customHeight="1" thickBot="1" x14ac:dyDescent="0.35">
      <c r="A82" s="51" t="s">
        <v>97</v>
      </c>
      <c r="B82" s="67"/>
      <c r="C82" s="30">
        <v>45440</v>
      </c>
      <c r="D82" s="30">
        <v>45440</v>
      </c>
      <c r="E82" s="8">
        <f t="shared" si="7"/>
        <v>1</v>
      </c>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row>
    <row r="83" spans="1:33" s="2" customFormat="1" ht="30" customHeight="1" thickBot="1" x14ac:dyDescent="0.35">
      <c r="A83" s="51" t="s">
        <v>98</v>
      </c>
      <c r="B83" s="67">
        <v>1</v>
      </c>
      <c r="C83" s="30">
        <v>45440</v>
      </c>
      <c r="D83" s="30">
        <v>45440</v>
      </c>
      <c r="E83" s="8">
        <f t="shared" si="7"/>
        <v>1</v>
      </c>
      <c r="F83" s="57"/>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row>
    <row r="84" spans="1:33" s="2" customFormat="1" ht="30" customHeight="1" thickBot="1" x14ac:dyDescent="0.35">
      <c r="A84" s="51" t="s">
        <v>99</v>
      </c>
      <c r="B84" s="67">
        <v>1</v>
      </c>
      <c r="C84" s="30">
        <v>45440</v>
      </c>
      <c r="D84" s="30">
        <v>45440</v>
      </c>
      <c r="E84" s="8"/>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row>
    <row r="85" spans="1:33" s="2" customFormat="1" ht="30" customHeight="1" thickBot="1" x14ac:dyDescent="0.35">
      <c r="A85" s="51" t="s">
        <v>100</v>
      </c>
      <c r="B85" s="67">
        <v>1</v>
      </c>
      <c r="C85" s="30">
        <v>45440</v>
      </c>
      <c r="D85" s="30">
        <v>45440</v>
      </c>
      <c r="E85" s="54"/>
      <c r="F85" s="57"/>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row>
    <row r="86" spans="1:33" s="2" customFormat="1" ht="30" customHeight="1" thickBot="1" x14ac:dyDescent="0.35">
      <c r="A86" s="51" t="s">
        <v>101</v>
      </c>
      <c r="B86" s="67"/>
      <c r="C86" s="30">
        <v>45440</v>
      </c>
      <c r="D86" s="30">
        <v>45440</v>
      </c>
      <c r="E86" s="54"/>
      <c r="F86" s="57"/>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row>
    <row r="87" spans="1:33" s="2" customFormat="1" ht="30" customHeight="1" thickBot="1" x14ac:dyDescent="0.35">
      <c r="A87" s="51" t="s">
        <v>102</v>
      </c>
      <c r="B87" s="67">
        <v>40</v>
      </c>
      <c r="C87" s="30">
        <v>45440</v>
      </c>
      <c r="D87" s="30">
        <v>45440</v>
      </c>
      <c r="E87" s="54"/>
      <c r="F87" s="57"/>
      <c r="G87" s="57"/>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row>
    <row r="88" spans="1:33" s="2" customFormat="1" ht="30" customHeight="1" thickBot="1" x14ac:dyDescent="0.35">
      <c r="A88" s="51" t="s">
        <v>103</v>
      </c>
      <c r="B88" s="67">
        <v>50</v>
      </c>
      <c r="C88" s="30">
        <v>45440</v>
      </c>
      <c r="D88" s="30">
        <v>45440</v>
      </c>
      <c r="E88" s="54"/>
      <c r="F88" s="57"/>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row>
    <row r="89" spans="1:33" s="2" customFormat="1" ht="30" customHeight="1" thickBot="1" x14ac:dyDescent="0.35">
      <c r="A89" s="51" t="s">
        <v>104</v>
      </c>
      <c r="B89" s="67"/>
      <c r="C89" s="30">
        <v>45440</v>
      </c>
      <c r="D89" s="30">
        <v>45440</v>
      </c>
      <c r="E89" s="54"/>
      <c r="F89" s="57"/>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row>
    <row r="90" spans="1:33" s="2" customFormat="1" ht="30" customHeight="1" thickBot="1" x14ac:dyDescent="0.35">
      <c r="A90" s="51" t="s">
        <v>105</v>
      </c>
      <c r="B90" s="67">
        <v>1</v>
      </c>
      <c r="C90" s="30">
        <v>45440</v>
      </c>
      <c r="D90" s="30">
        <v>45440</v>
      </c>
      <c r="E90" s="54"/>
      <c r="F90" s="57"/>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row>
    <row r="91" spans="1:33" s="2" customFormat="1" ht="30" customHeight="1" thickBot="1" x14ac:dyDescent="0.35">
      <c r="A91" s="51" t="s">
        <v>106</v>
      </c>
      <c r="B91" s="67">
        <v>1</v>
      </c>
      <c r="C91" s="30">
        <v>45440</v>
      </c>
      <c r="D91" s="30">
        <v>45440</v>
      </c>
      <c r="E91" s="54"/>
      <c r="F91" s="57"/>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row>
    <row r="92" spans="1:33" s="2" customFormat="1" ht="30" customHeight="1" thickBot="1" x14ac:dyDescent="0.35">
      <c r="A92" s="52" t="s">
        <v>107</v>
      </c>
      <c r="B92" s="74">
        <v>270</v>
      </c>
      <c r="C92" s="31">
        <v>45440</v>
      </c>
      <c r="D92" s="32">
        <v>45442</v>
      </c>
      <c r="E92" s="8">
        <f t="shared" ref="E92:E97" si="8">IF(OR(ISBLANK(task_start),ISBLANK(task_end)),"",task_end-task_start+1)</f>
        <v>3</v>
      </c>
      <c r="F92" s="57"/>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row>
    <row r="93" spans="1:33" s="2" customFormat="1" ht="30" customHeight="1" thickBot="1" x14ac:dyDescent="0.35">
      <c r="A93" s="53" t="s">
        <v>108</v>
      </c>
      <c r="B93" s="68"/>
      <c r="C93" s="38">
        <v>45440</v>
      </c>
      <c r="D93" s="38">
        <v>45442</v>
      </c>
      <c r="E93" s="8">
        <f t="shared" si="8"/>
        <v>3</v>
      </c>
      <c r="F93" s="57"/>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row>
    <row r="94" spans="1:33" s="2" customFormat="1" ht="30" customHeight="1" thickBot="1" x14ac:dyDescent="0.35">
      <c r="A94" s="53" t="s">
        <v>109</v>
      </c>
      <c r="B94" s="68">
        <v>40</v>
      </c>
      <c r="C94" s="38">
        <v>45440</v>
      </c>
      <c r="D94" s="38">
        <v>45442</v>
      </c>
      <c r="E94" s="8">
        <f t="shared" si="8"/>
        <v>3</v>
      </c>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row>
    <row r="95" spans="1:33" s="2" customFormat="1" ht="30" customHeight="1" thickBot="1" x14ac:dyDescent="0.35">
      <c r="A95" s="53" t="s">
        <v>110</v>
      </c>
      <c r="B95" s="68">
        <v>20</v>
      </c>
      <c r="C95" s="38">
        <v>45440</v>
      </c>
      <c r="D95" s="38">
        <v>45442</v>
      </c>
      <c r="E95" s="8">
        <f t="shared" si="8"/>
        <v>3</v>
      </c>
      <c r="F95" s="57"/>
      <c r="G95" s="57"/>
      <c r="H95" s="57"/>
      <c r="I95" s="57"/>
      <c r="J95" s="57"/>
      <c r="K95" s="57"/>
      <c r="L95" s="57"/>
      <c r="M95" s="57"/>
      <c r="N95" s="57"/>
      <c r="O95" s="57"/>
      <c r="P95" s="57"/>
      <c r="Q95" s="57"/>
      <c r="R95" s="57"/>
      <c r="S95" s="57"/>
      <c r="T95" s="57"/>
      <c r="U95" s="57"/>
      <c r="V95" s="57"/>
      <c r="W95" s="57"/>
      <c r="X95" s="57"/>
      <c r="Y95" s="57"/>
      <c r="Z95" s="57"/>
      <c r="AA95" s="57"/>
      <c r="AB95" s="57"/>
      <c r="AC95" s="57"/>
      <c r="AD95" s="57"/>
      <c r="AE95" s="57"/>
      <c r="AF95" s="57"/>
      <c r="AG95" s="57"/>
    </row>
    <row r="96" spans="1:33" s="2" customFormat="1" ht="30" customHeight="1" thickBot="1" x14ac:dyDescent="0.35">
      <c r="A96" s="53" t="s">
        <v>111</v>
      </c>
      <c r="B96" s="68"/>
      <c r="C96" s="38">
        <v>45441</v>
      </c>
      <c r="D96" s="38">
        <v>45442</v>
      </c>
      <c r="E96" s="8">
        <f t="shared" si="8"/>
        <v>2</v>
      </c>
      <c r="F96" s="57"/>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row>
    <row r="97" spans="1:33" s="2" customFormat="1" ht="30" customHeight="1" thickBot="1" x14ac:dyDescent="0.35">
      <c r="A97" s="53" t="s">
        <v>112</v>
      </c>
      <c r="B97" s="68">
        <v>1</v>
      </c>
      <c r="C97" s="38">
        <v>45441</v>
      </c>
      <c r="D97" s="38">
        <v>45442</v>
      </c>
      <c r="E97" s="8">
        <f t="shared" si="8"/>
        <v>2</v>
      </c>
      <c r="F97" s="57"/>
      <c r="G97" s="57"/>
      <c r="H97" s="57"/>
      <c r="I97" s="57"/>
      <c r="J97" s="57"/>
      <c r="K97" s="57"/>
      <c r="L97" s="57"/>
      <c r="M97" s="57"/>
      <c r="N97" s="57"/>
      <c r="O97" s="57"/>
      <c r="P97" s="57"/>
      <c r="Q97" s="57"/>
      <c r="R97" s="57"/>
      <c r="S97" s="57"/>
      <c r="T97" s="57"/>
      <c r="U97" s="57"/>
      <c r="V97" s="57"/>
      <c r="W97" s="57"/>
      <c r="X97" s="57"/>
      <c r="Y97" s="57"/>
      <c r="Z97" s="57"/>
      <c r="AA97" s="57"/>
      <c r="AB97" s="57"/>
      <c r="AC97" s="57"/>
      <c r="AD97" s="57"/>
      <c r="AE97" s="57"/>
      <c r="AF97" s="57"/>
      <c r="AG97" s="57"/>
    </row>
    <row r="98" spans="1:33" s="2" customFormat="1" ht="30" customHeight="1" thickBot="1" x14ac:dyDescent="0.35">
      <c r="A98" s="53" t="s">
        <v>113</v>
      </c>
      <c r="B98" s="68">
        <v>1</v>
      </c>
      <c r="C98" s="38">
        <v>45441</v>
      </c>
      <c r="D98" s="38">
        <v>45442</v>
      </c>
      <c r="E98" s="8"/>
      <c r="F98" s="57"/>
      <c r="G98" s="57"/>
      <c r="H98" s="57"/>
      <c r="I98" s="57"/>
      <c r="J98" s="57"/>
      <c r="K98" s="57"/>
      <c r="L98" s="57"/>
      <c r="M98" s="57"/>
      <c r="N98" s="57"/>
      <c r="O98" s="57"/>
      <c r="P98" s="57"/>
      <c r="Q98" s="57"/>
      <c r="R98" s="57"/>
      <c r="S98" s="57"/>
      <c r="T98" s="57"/>
      <c r="U98" s="57"/>
      <c r="V98" s="57"/>
      <c r="W98" s="57"/>
      <c r="X98" s="57"/>
      <c r="Y98" s="57"/>
      <c r="Z98" s="57"/>
      <c r="AA98" s="57"/>
      <c r="AB98" s="57"/>
      <c r="AC98" s="57"/>
      <c r="AD98" s="57"/>
      <c r="AE98" s="57"/>
      <c r="AF98" s="57"/>
      <c r="AG98" s="57"/>
    </row>
    <row r="99" spans="1:33" s="2" customFormat="1" ht="30" customHeight="1" thickBot="1" x14ac:dyDescent="0.35">
      <c r="A99" s="53" t="s">
        <v>114</v>
      </c>
      <c r="B99" s="68">
        <v>1</v>
      </c>
      <c r="C99" s="38">
        <v>45441</v>
      </c>
      <c r="D99" s="38">
        <v>45442</v>
      </c>
      <c r="E99" s="54"/>
      <c r="F99" s="57"/>
      <c r="G99" s="57"/>
      <c r="H99" s="57"/>
      <c r="I99" s="57"/>
      <c r="J99" s="57"/>
      <c r="K99" s="57"/>
      <c r="L99" s="57"/>
      <c r="M99" s="57"/>
      <c r="N99" s="57"/>
      <c r="O99" s="57"/>
      <c r="P99" s="57"/>
      <c r="Q99" s="57"/>
      <c r="R99" s="57"/>
      <c r="S99" s="57"/>
      <c r="T99" s="57"/>
      <c r="U99" s="57"/>
      <c r="V99" s="57"/>
      <c r="W99" s="57"/>
      <c r="X99" s="57"/>
      <c r="Y99" s="57"/>
      <c r="Z99" s="57"/>
      <c r="AA99" s="57"/>
      <c r="AB99" s="57"/>
      <c r="AC99" s="57"/>
      <c r="AD99" s="57"/>
      <c r="AE99" s="57"/>
      <c r="AF99" s="57"/>
      <c r="AG99" s="57"/>
    </row>
    <row r="100" spans="1:33" s="2" customFormat="1" ht="30" customHeight="1" thickBot="1" x14ac:dyDescent="0.35">
      <c r="A100" s="53" t="s">
        <v>115</v>
      </c>
      <c r="B100" s="68"/>
      <c r="C100" s="38">
        <v>45441</v>
      </c>
      <c r="D100" s="38">
        <v>45442</v>
      </c>
      <c r="E100" s="54"/>
      <c r="F100" s="57"/>
      <c r="G100" s="57"/>
      <c r="H100" s="57"/>
      <c r="I100" s="57"/>
      <c r="J100" s="57"/>
      <c r="K100" s="57"/>
      <c r="L100" s="57"/>
      <c r="M100" s="57"/>
      <c r="N100" s="57"/>
      <c r="O100" s="57"/>
      <c r="P100" s="57"/>
      <c r="Q100" s="57"/>
      <c r="R100" s="57"/>
      <c r="S100" s="57"/>
      <c r="T100" s="57"/>
      <c r="U100" s="57"/>
      <c r="V100" s="57"/>
      <c r="W100" s="57"/>
      <c r="X100" s="57"/>
      <c r="Y100" s="57"/>
      <c r="Z100" s="57"/>
      <c r="AA100" s="57"/>
      <c r="AB100" s="57"/>
      <c r="AC100" s="57"/>
      <c r="AD100" s="57"/>
      <c r="AE100" s="57"/>
      <c r="AF100" s="57"/>
      <c r="AG100" s="57"/>
    </row>
    <row r="101" spans="1:33" s="2" customFormat="1" ht="30" customHeight="1" thickBot="1" x14ac:dyDescent="0.35">
      <c r="A101" s="53" t="s">
        <v>116</v>
      </c>
      <c r="B101" s="68">
        <v>20</v>
      </c>
      <c r="C101" s="38">
        <v>45441</v>
      </c>
      <c r="D101" s="38">
        <v>45442</v>
      </c>
      <c r="E101" s="54"/>
      <c r="F101" s="57"/>
      <c r="G101" s="57"/>
      <c r="H101" s="57"/>
      <c r="I101" s="57"/>
      <c r="J101" s="57"/>
      <c r="K101" s="57"/>
      <c r="L101" s="57"/>
      <c r="M101" s="57"/>
      <c r="N101" s="57"/>
      <c r="O101" s="57"/>
      <c r="P101" s="57"/>
      <c r="Q101" s="57"/>
      <c r="R101" s="57"/>
      <c r="S101" s="57"/>
      <c r="T101" s="57"/>
      <c r="U101" s="57"/>
      <c r="V101" s="57"/>
      <c r="W101" s="57"/>
      <c r="X101" s="57"/>
      <c r="Y101" s="57"/>
      <c r="Z101" s="57"/>
      <c r="AA101" s="57"/>
      <c r="AB101" s="57"/>
      <c r="AC101" s="57"/>
      <c r="AD101" s="57"/>
      <c r="AE101" s="57"/>
      <c r="AF101" s="57"/>
      <c r="AG101" s="57"/>
    </row>
    <row r="102" spans="1:33" s="2" customFormat="1" ht="30" customHeight="1" thickBot="1" x14ac:dyDescent="0.35">
      <c r="A102" s="53" t="s">
        <v>117</v>
      </c>
      <c r="B102" s="68">
        <v>30</v>
      </c>
      <c r="C102" s="38">
        <v>45441</v>
      </c>
      <c r="D102" s="38">
        <v>45442</v>
      </c>
      <c r="E102" s="54"/>
      <c r="F102" s="57"/>
      <c r="G102" s="57"/>
      <c r="H102" s="57"/>
      <c r="I102" s="57"/>
      <c r="J102" s="57"/>
      <c r="K102" s="57"/>
      <c r="L102" s="57"/>
      <c r="M102" s="57"/>
      <c r="N102" s="57"/>
      <c r="O102" s="57"/>
      <c r="P102" s="57"/>
      <c r="Q102" s="57"/>
      <c r="R102" s="57"/>
      <c r="S102" s="57"/>
      <c r="T102" s="57"/>
      <c r="U102" s="57"/>
      <c r="V102" s="57"/>
      <c r="W102" s="57"/>
      <c r="X102" s="57"/>
      <c r="Y102" s="57"/>
      <c r="Z102" s="57"/>
      <c r="AA102" s="57"/>
      <c r="AB102" s="57"/>
      <c r="AC102" s="57"/>
      <c r="AD102" s="57"/>
      <c r="AE102" s="57"/>
      <c r="AF102" s="57"/>
      <c r="AG102" s="57"/>
    </row>
    <row r="103" spans="1:33" s="2" customFormat="1" ht="30" customHeight="1" thickBot="1" x14ac:dyDescent="0.35">
      <c r="A103" s="53" t="s">
        <v>118</v>
      </c>
      <c r="B103" s="68">
        <v>35</v>
      </c>
      <c r="C103" s="38">
        <v>45441</v>
      </c>
      <c r="D103" s="38">
        <v>45442</v>
      </c>
      <c r="E103" s="54"/>
      <c r="F103" s="57"/>
      <c r="G103" s="57"/>
      <c r="H103" s="57"/>
      <c r="I103" s="57"/>
      <c r="J103" s="57"/>
      <c r="K103" s="57"/>
      <c r="L103" s="57"/>
      <c r="M103" s="57"/>
      <c r="N103" s="57"/>
      <c r="O103" s="57"/>
      <c r="P103" s="57"/>
      <c r="Q103" s="57"/>
      <c r="R103" s="57"/>
      <c r="S103" s="57"/>
      <c r="T103" s="57"/>
      <c r="U103" s="57"/>
      <c r="V103" s="57"/>
      <c r="W103" s="57"/>
      <c r="X103" s="57"/>
      <c r="Y103" s="57"/>
      <c r="Z103" s="57"/>
      <c r="AA103" s="57"/>
      <c r="AB103" s="57"/>
      <c r="AC103" s="57"/>
      <c r="AD103" s="57"/>
      <c r="AE103" s="57"/>
      <c r="AF103" s="57"/>
      <c r="AG103" s="57"/>
    </row>
    <row r="104" spans="1:33" s="2" customFormat="1" ht="30" customHeight="1" thickBot="1" x14ac:dyDescent="0.35">
      <c r="A104" s="53" t="s">
        <v>119</v>
      </c>
      <c r="B104" s="68"/>
      <c r="C104" s="38">
        <v>45441</v>
      </c>
      <c r="D104" s="38">
        <v>45442</v>
      </c>
      <c r="E104" s="54"/>
      <c r="F104" s="57"/>
      <c r="G104" s="57"/>
      <c r="H104" s="57"/>
      <c r="I104" s="57"/>
      <c r="J104" s="57"/>
      <c r="K104" s="57"/>
      <c r="L104" s="57"/>
      <c r="M104" s="57"/>
      <c r="N104" s="57"/>
      <c r="O104" s="57"/>
      <c r="P104" s="57"/>
      <c r="Q104" s="57"/>
      <c r="R104" s="57"/>
      <c r="S104" s="57"/>
      <c r="T104" s="57"/>
      <c r="U104" s="57"/>
      <c r="V104" s="57"/>
      <c r="W104" s="57"/>
      <c r="X104" s="57"/>
      <c r="Y104" s="57"/>
      <c r="Z104" s="57"/>
      <c r="AA104" s="57"/>
      <c r="AB104" s="57"/>
      <c r="AC104" s="57"/>
      <c r="AD104" s="57"/>
      <c r="AE104" s="57"/>
      <c r="AF104" s="57"/>
      <c r="AG104" s="57"/>
    </row>
    <row r="105" spans="1:33" s="2" customFormat="1" ht="30" customHeight="1" thickBot="1" x14ac:dyDescent="0.35">
      <c r="A105" s="53" t="s">
        <v>120</v>
      </c>
      <c r="B105" s="68">
        <v>120</v>
      </c>
      <c r="C105" s="38">
        <v>45441</v>
      </c>
      <c r="D105" s="38">
        <v>45442</v>
      </c>
      <c r="E105" s="54"/>
      <c r="F105" s="57"/>
      <c r="G105" s="57"/>
      <c r="H105" s="57"/>
      <c r="I105" s="57"/>
      <c r="J105" s="57"/>
      <c r="K105" s="57"/>
      <c r="L105" s="57"/>
      <c r="M105" s="57"/>
      <c r="N105" s="57"/>
      <c r="O105" s="57"/>
      <c r="P105" s="57"/>
      <c r="Q105" s="57"/>
      <c r="R105" s="57"/>
      <c r="S105" s="57"/>
      <c r="T105" s="57"/>
      <c r="U105" s="57"/>
      <c r="V105" s="57"/>
      <c r="W105" s="57"/>
      <c r="X105" s="57"/>
      <c r="Y105" s="57"/>
      <c r="Z105" s="57"/>
      <c r="AA105" s="57"/>
      <c r="AB105" s="57"/>
      <c r="AC105" s="57"/>
      <c r="AD105" s="57"/>
      <c r="AE105" s="57"/>
      <c r="AF105" s="57"/>
      <c r="AG105" s="57"/>
    </row>
    <row r="106" spans="1:33" s="2" customFormat="1" ht="30" customHeight="1" thickBot="1" x14ac:dyDescent="0.35">
      <c r="A106" s="53" t="s">
        <v>121</v>
      </c>
      <c r="B106" s="68"/>
      <c r="C106" s="38">
        <v>45442</v>
      </c>
      <c r="D106" s="38">
        <v>45442</v>
      </c>
      <c r="E106" s="54"/>
      <c r="F106" s="57"/>
      <c r="G106" s="57"/>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row>
    <row r="107" spans="1:33" s="2" customFormat="1" ht="30" customHeight="1" thickBot="1" x14ac:dyDescent="0.35">
      <c r="A107" s="53" t="s">
        <v>123</v>
      </c>
      <c r="B107" s="68">
        <v>1</v>
      </c>
      <c r="C107" s="38">
        <v>45442</v>
      </c>
      <c r="D107" s="38">
        <v>45442</v>
      </c>
      <c r="E107" s="54"/>
      <c r="F107" s="57"/>
      <c r="G107" s="57"/>
      <c r="H107" s="57"/>
      <c r="I107" s="57"/>
      <c r="J107" s="57"/>
      <c r="K107" s="57"/>
      <c r="L107" s="57"/>
      <c r="M107" s="57"/>
      <c r="N107" s="57"/>
      <c r="O107" s="57"/>
      <c r="P107" s="57"/>
      <c r="Q107" s="57"/>
      <c r="R107" s="57"/>
      <c r="S107" s="57"/>
      <c r="T107" s="57"/>
      <c r="U107" s="57"/>
      <c r="V107" s="57"/>
      <c r="W107" s="57"/>
      <c r="X107" s="57"/>
      <c r="Y107" s="57"/>
      <c r="Z107" s="57"/>
      <c r="AA107" s="57"/>
      <c r="AB107" s="57"/>
      <c r="AC107" s="57"/>
      <c r="AD107" s="57"/>
      <c r="AE107" s="57"/>
      <c r="AF107" s="57"/>
      <c r="AG107" s="57"/>
    </row>
    <row r="108" spans="1:33" s="2" customFormat="1" ht="30" customHeight="1" thickBot="1" x14ac:dyDescent="0.35">
      <c r="A108" s="53" t="s">
        <v>122</v>
      </c>
      <c r="B108" s="68">
        <v>1</v>
      </c>
      <c r="C108" s="38">
        <v>45442</v>
      </c>
      <c r="D108" s="38">
        <v>45442</v>
      </c>
      <c r="E108" s="54"/>
      <c r="F108" s="57"/>
      <c r="G108" s="57"/>
      <c r="H108" s="57"/>
      <c r="I108" s="57"/>
      <c r="J108" s="57"/>
      <c r="K108" s="57"/>
      <c r="L108" s="57"/>
      <c r="M108" s="57"/>
      <c r="N108" s="57"/>
      <c r="O108" s="57"/>
      <c r="P108" s="57"/>
      <c r="Q108" s="57"/>
      <c r="R108" s="57"/>
      <c r="S108" s="57"/>
      <c r="T108" s="57"/>
      <c r="U108" s="57"/>
      <c r="V108" s="57"/>
      <c r="W108" s="57"/>
      <c r="X108" s="57"/>
      <c r="Y108" s="57"/>
      <c r="Z108" s="57"/>
      <c r="AA108" s="57"/>
      <c r="AB108" s="57"/>
      <c r="AC108" s="57"/>
      <c r="AD108" s="57"/>
      <c r="AE108" s="57"/>
      <c r="AF108" s="57"/>
      <c r="AG108" s="57"/>
    </row>
    <row r="109" spans="1:33" s="2" customFormat="1" ht="30" customHeight="1" thickBot="1" x14ac:dyDescent="0.35">
      <c r="A109" s="48" t="s">
        <v>124</v>
      </c>
      <c r="B109" s="72">
        <v>80</v>
      </c>
      <c r="C109" s="26">
        <v>45442</v>
      </c>
      <c r="D109" s="27">
        <v>45442</v>
      </c>
      <c r="E109" s="8">
        <f t="shared" ref="E109:E112" si="9">IF(OR(ISBLANK(task_start),ISBLANK(task_end)),"",task_end-task_start+1)</f>
        <v>1</v>
      </c>
      <c r="F109" s="57"/>
      <c r="G109" s="57"/>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row>
    <row r="110" spans="1:33" s="2" customFormat="1" ht="30" customHeight="1" thickBot="1" x14ac:dyDescent="0.35">
      <c r="A110" s="49" t="s">
        <v>125</v>
      </c>
      <c r="B110" s="66"/>
      <c r="C110" s="37">
        <v>45442</v>
      </c>
      <c r="D110" s="37">
        <v>45442</v>
      </c>
      <c r="E110" s="8">
        <f t="shared" si="9"/>
        <v>1</v>
      </c>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57"/>
      <c r="AD110" s="57"/>
      <c r="AE110" s="57"/>
      <c r="AF110" s="57"/>
      <c r="AG110" s="57"/>
    </row>
    <row r="111" spans="1:33" s="2" customFormat="1" ht="30" customHeight="1" thickBot="1" x14ac:dyDescent="0.35">
      <c r="A111" s="49" t="s">
        <v>126</v>
      </c>
      <c r="B111" s="66">
        <v>10</v>
      </c>
      <c r="C111" s="37">
        <v>45442</v>
      </c>
      <c r="D111" s="37">
        <v>45442</v>
      </c>
      <c r="E111" s="8">
        <f t="shared" si="9"/>
        <v>1</v>
      </c>
      <c r="F111" s="57"/>
      <c r="G111" s="57"/>
      <c r="H111" s="57"/>
      <c r="I111" s="57"/>
      <c r="J111" s="57"/>
      <c r="K111" s="57"/>
      <c r="L111" s="57"/>
      <c r="M111" s="57"/>
      <c r="N111" s="57"/>
      <c r="O111" s="57"/>
      <c r="P111" s="57"/>
      <c r="Q111" s="57"/>
      <c r="R111" s="59"/>
      <c r="S111" s="59"/>
      <c r="T111" s="57"/>
      <c r="U111" s="57"/>
      <c r="V111" s="57"/>
      <c r="W111" s="57"/>
      <c r="X111" s="57"/>
      <c r="Y111" s="57"/>
      <c r="Z111" s="57"/>
      <c r="AA111" s="57"/>
      <c r="AB111" s="57"/>
      <c r="AC111" s="57"/>
      <c r="AD111" s="57"/>
      <c r="AE111" s="57"/>
      <c r="AF111" s="57"/>
      <c r="AG111" s="57"/>
    </row>
    <row r="112" spans="1:33" s="2" customFormat="1" ht="30" customHeight="1" thickBot="1" x14ac:dyDescent="0.35">
      <c r="A112" s="49" t="s">
        <v>127</v>
      </c>
      <c r="B112" s="66">
        <v>5</v>
      </c>
      <c r="C112" s="37">
        <v>45442</v>
      </c>
      <c r="D112" s="37">
        <v>45442</v>
      </c>
      <c r="E112" s="8">
        <f t="shared" si="9"/>
        <v>1</v>
      </c>
      <c r="F112" s="57"/>
      <c r="G112" s="57"/>
      <c r="H112" s="57"/>
      <c r="I112" s="57"/>
      <c r="J112" s="57"/>
      <c r="K112" s="57"/>
      <c r="L112" s="57"/>
      <c r="M112" s="57"/>
      <c r="N112" s="57"/>
      <c r="O112" s="57"/>
      <c r="P112" s="57"/>
      <c r="Q112" s="57"/>
      <c r="R112" s="57"/>
      <c r="S112" s="57"/>
      <c r="T112" s="57"/>
      <c r="U112" s="57"/>
      <c r="V112" s="59"/>
      <c r="W112" s="57"/>
      <c r="X112" s="57"/>
      <c r="Y112" s="57"/>
      <c r="Z112" s="57"/>
      <c r="AA112" s="57"/>
      <c r="AB112" s="57"/>
      <c r="AC112" s="57"/>
      <c r="AD112" s="57"/>
      <c r="AE112" s="57"/>
      <c r="AF112" s="57"/>
      <c r="AG112" s="57"/>
    </row>
    <row r="113" spans="1:33" s="2" customFormat="1" ht="30" customHeight="1" thickBot="1" x14ac:dyDescent="0.35">
      <c r="A113" s="49" t="s">
        <v>128</v>
      </c>
      <c r="B113" s="66"/>
      <c r="C113" s="37">
        <v>45442</v>
      </c>
      <c r="D113" s="37">
        <v>45442</v>
      </c>
      <c r="E113" s="8"/>
      <c r="F113" s="57"/>
      <c r="G113" s="57"/>
      <c r="H113" s="57"/>
      <c r="I113" s="57"/>
      <c r="J113" s="57"/>
      <c r="K113" s="57"/>
      <c r="L113" s="57"/>
      <c r="M113" s="57"/>
      <c r="N113" s="57"/>
      <c r="O113" s="57"/>
      <c r="P113" s="57"/>
      <c r="Q113" s="57"/>
      <c r="R113" s="57"/>
      <c r="S113" s="57"/>
      <c r="T113" s="57"/>
      <c r="U113" s="57"/>
      <c r="V113" s="59"/>
      <c r="W113" s="57"/>
      <c r="X113" s="57"/>
      <c r="Y113" s="57"/>
      <c r="Z113" s="57"/>
      <c r="AA113" s="57"/>
      <c r="AB113" s="57"/>
      <c r="AC113" s="57"/>
      <c r="AD113" s="57"/>
      <c r="AE113" s="57"/>
      <c r="AF113" s="57"/>
      <c r="AG113" s="57"/>
    </row>
    <row r="114" spans="1:33" s="2" customFormat="1" ht="30" customHeight="1" thickBot="1" x14ac:dyDescent="0.35">
      <c r="A114" s="49" t="s">
        <v>129</v>
      </c>
      <c r="B114" s="66">
        <v>1</v>
      </c>
      <c r="C114" s="37">
        <v>45442</v>
      </c>
      <c r="D114" s="37">
        <v>45442</v>
      </c>
      <c r="E114" s="8"/>
      <c r="F114" s="57"/>
      <c r="G114" s="57"/>
      <c r="H114" s="57"/>
      <c r="I114" s="57"/>
      <c r="J114" s="57"/>
      <c r="K114" s="57"/>
      <c r="L114" s="57"/>
      <c r="M114" s="57"/>
      <c r="N114" s="57"/>
      <c r="O114" s="57"/>
      <c r="P114" s="57"/>
      <c r="Q114" s="57"/>
      <c r="R114" s="57"/>
      <c r="S114" s="57"/>
      <c r="T114" s="57"/>
      <c r="U114" s="57"/>
      <c r="V114" s="59"/>
      <c r="W114" s="57"/>
      <c r="X114" s="57"/>
      <c r="Y114" s="57"/>
      <c r="Z114" s="57"/>
      <c r="AA114" s="57"/>
      <c r="AB114" s="57"/>
      <c r="AC114" s="57"/>
      <c r="AD114" s="57"/>
      <c r="AE114" s="57"/>
      <c r="AF114" s="57"/>
      <c r="AG114" s="57"/>
    </row>
    <row r="115" spans="1:33" s="2" customFormat="1" ht="30" customHeight="1" thickBot="1" x14ac:dyDescent="0.35">
      <c r="A115" s="49" t="s">
        <v>130</v>
      </c>
      <c r="B115" s="66">
        <v>1</v>
      </c>
      <c r="C115" s="37">
        <v>45442</v>
      </c>
      <c r="D115" s="37">
        <v>45442</v>
      </c>
      <c r="E115" s="54"/>
      <c r="F115" s="57"/>
      <c r="G115" s="57"/>
      <c r="H115" s="57"/>
      <c r="I115" s="57"/>
      <c r="J115" s="57"/>
      <c r="K115" s="57"/>
      <c r="L115" s="57"/>
      <c r="M115" s="57"/>
      <c r="N115" s="57"/>
      <c r="O115" s="57"/>
      <c r="P115" s="57"/>
      <c r="Q115" s="57"/>
      <c r="R115" s="57"/>
      <c r="S115" s="57"/>
      <c r="T115" s="57"/>
      <c r="U115" s="57"/>
      <c r="V115" s="59"/>
      <c r="W115" s="57"/>
      <c r="X115" s="57"/>
      <c r="Y115" s="57"/>
      <c r="Z115" s="57"/>
      <c r="AA115" s="57"/>
      <c r="AB115" s="57"/>
      <c r="AC115" s="57"/>
      <c r="AD115" s="57"/>
      <c r="AE115" s="57"/>
      <c r="AF115" s="57"/>
      <c r="AG115" s="57"/>
    </row>
    <row r="116" spans="1:33" s="2" customFormat="1" ht="30" customHeight="1" thickBot="1" x14ac:dyDescent="0.35">
      <c r="A116" s="49" t="s">
        <v>131</v>
      </c>
      <c r="B116" s="66">
        <v>1</v>
      </c>
      <c r="C116" s="37">
        <v>45442</v>
      </c>
      <c r="D116" s="37">
        <v>45442</v>
      </c>
      <c r="E116" s="54"/>
      <c r="F116" s="57"/>
      <c r="G116" s="57"/>
      <c r="H116" s="57"/>
      <c r="I116" s="57"/>
      <c r="J116" s="57"/>
      <c r="K116" s="57"/>
      <c r="L116" s="57"/>
      <c r="M116" s="57"/>
      <c r="N116" s="57"/>
      <c r="O116" s="57"/>
      <c r="P116" s="57"/>
      <c r="Q116" s="57"/>
      <c r="R116" s="57"/>
      <c r="S116" s="57"/>
      <c r="T116" s="57"/>
      <c r="U116" s="57"/>
      <c r="V116" s="59"/>
      <c r="W116" s="57"/>
      <c r="X116" s="57"/>
      <c r="Y116" s="57"/>
      <c r="Z116" s="57"/>
      <c r="AA116" s="57"/>
      <c r="AB116" s="57"/>
      <c r="AC116" s="57"/>
      <c r="AD116" s="57"/>
      <c r="AE116" s="57"/>
      <c r="AF116" s="57"/>
      <c r="AG116" s="57"/>
    </row>
    <row r="117" spans="1:33" s="2" customFormat="1" ht="30" customHeight="1" thickBot="1" x14ac:dyDescent="0.35">
      <c r="A117" s="49" t="s">
        <v>132</v>
      </c>
      <c r="B117" s="66"/>
      <c r="C117" s="37">
        <v>45442</v>
      </c>
      <c r="D117" s="37">
        <v>45442</v>
      </c>
      <c r="E117" s="54"/>
      <c r="F117" s="57"/>
      <c r="G117" s="57"/>
      <c r="H117" s="57"/>
      <c r="I117" s="57"/>
      <c r="J117" s="57"/>
      <c r="K117" s="57"/>
      <c r="L117" s="57"/>
      <c r="M117" s="57"/>
      <c r="N117" s="57"/>
      <c r="O117" s="57"/>
      <c r="P117" s="57"/>
      <c r="Q117" s="57"/>
      <c r="R117" s="57"/>
      <c r="S117" s="57"/>
      <c r="T117" s="57"/>
      <c r="U117" s="57"/>
      <c r="V117" s="59"/>
      <c r="W117" s="57"/>
      <c r="X117" s="57"/>
      <c r="Y117" s="57"/>
      <c r="Z117" s="57"/>
      <c r="AA117" s="57"/>
      <c r="AB117" s="57"/>
      <c r="AC117" s="57"/>
      <c r="AD117" s="57"/>
      <c r="AE117" s="57"/>
      <c r="AF117" s="57"/>
      <c r="AG117" s="57"/>
    </row>
    <row r="118" spans="1:33" s="2" customFormat="1" ht="30" customHeight="1" thickBot="1" x14ac:dyDescent="0.35">
      <c r="A118" s="49" t="s">
        <v>133</v>
      </c>
      <c r="B118" s="66">
        <v>25</v>
      </c>
      <c r="C118" s="37">
        <v>45442</v>
      </c>
      <c r="D118" s="37">
        <v>45442</v>
      </c>
      <c r="E118" s="54"/>
      <c r="F118" s="57"/>
      <c r="G118" s="57"/>
      <c r="H118" s="57"/>
      <c r="I118" s="57"/>
      <c r="J118" s="57"/>
      <c r="K118" s="57"/>
      <c r="L118" s="57"/>
      <c r="M118" s="57"/>
      <c r="N118" s="57"/>
      <c r="O118" s="57"/>
      <c r="P118" s="57"/>
      <c r="Q118" s="57"/>
      <c r="R118" s="57"/>
      <c r="S118" s="57"/>
      <c r="T118" s="57"/>
      <c r="U118" s="57"/>
      <c r="V118" s="59"/>
      <c r="W118" s="57"/>
      <c r="X118" s="57"/>
      <c r="Y118" s="57"/>
      <c r="Z118" s="57"/>
      <c r="AA118" s="57"/>
      <c r="AB118" s="57"/>
      <c r="AC118" s="57"/>
      <c r="AD118" s="57"/>
      <c r="AE118" s="57"/>
      <c r="AF118" s="57"/>
      <c r="AG118" s="57"/>
    </row>
    <row r="119" spans="1:33" s="2" customFormat="1" ht="30" customHeight="1" thickBot="1" x14ac:dyDescent="0.35">
      <c r="A119" s="49" t="s">
        <v>134</v>
      </c>
      <c r="B119" s="66">
        <v>35</v>
      </c>
      <c r="C119" s="37">
        <v>45442</v>
      </c>
      <c r="D119" s="37">
        <v>45442</v>
      </c>
      <c r="E119" s="54"/>
      <c r="F119" s="57"/>
      <c r="G119" s="57"/>
      <c r="H119" s="57"/>
      <c r="I119" s="57"/>
      <c r="J119" s="57"/>
      <c r="K119" s="57"/>
      <c r="L119" s="57"/>
      <c r="M119" s="57"/>
      <c r="N119" s="57"/>
      <c r="O119" s="57"/>
      <c r="P119" s="57"/>
      <c r="Q119" s="57"/>
      <c r="R119" s="57"/>
      <c r="S119" s="57"/>
      <c r="T119" s="57"/>
      <c r="U119" s="57"/>
      <c r="V119" s="59"/>
      <c r="W119" s="57"/>
      <c r="X119" s="57"/>
      <c r="Y119" s="57"/>
      <c r="Z119" s="57"/>
      <c r="AA119" s="57"/>
      <c r="AB119" s="57"/>
      <c r="AC119" s="57"/>
      <c r="AD119" s="57"/>
      <c r="AE119" s="57"/>
      <c r="AF119" s="57"/>
      <c r="AG119" s="57"/>
    </row>
    <row r="120" spans="1:33" s="2" customFormat="1" ht="30" customHeight="1" thickBot="1" x14ac:dyDescent="0.35">
      <c r="A120" s="49" t="s">
        <v>135</v>
      </c>
      <c r="B120" s="66"/>
      <c r="C120" s="37">
        <v>45442</v>
      </c>
      <c r="D120" s="37">
        <v>45442</v>
      </c>
      <c r="E120" s="54"/>
      <c r="F120" s="57"/>
      <c r="G120" s="57"/>
      <c r="H120" s="57"/>
      <c r="I120" s="57"/>
      <c r="J120" s="57"/>
      <c r="K120" s="57"/>
      <c r="L120" s="57"/>
      <c r="M120" s="57"/>
      <c r="N120" s="57"/>
      <c r="O120" s="57"/>
      <c r="P120" s="57"/>
      <c r="Q120" s="57"/>
      <c r="R120" s="57"/>
      <c r="S120" s="57"/>
      <c r="T120" s="57"/>
      <c r="U120" s="57"/>
      <c r="V120" s="59"/>
      <c r="W120" s="57"/>
      <c r="X120" s="57"/>
      <c r="Y120" s="57"/>
      <c r="Z120" s="57"/>
      <c r="AA120" s="57"/>
      <c r="AB120" s="57"/>
      <c r="AC120" s="57"/>
      <c r="AD120" s="57"/>
      <c r="AE120" s="57"/>
      <c r="AF120" s="57"/>
      <c r="AG120" s="57"/>
    </row>
    <row r="121" spans="1:33" s="2" customFormat="1" ht="30" customHeight="1" thickBot="1" x14ac:dyDescent="0.35">
      <c r="A121" s="49" t="s">
        <v>136</v>
      </c>
      <c r="B121" s="66">
        <v>1</v>
      </c>
      <c r="C121" s="37">
        <v>45442</v>
      </c>
      <c r="D121" s="37">
        <v>45442</v>
      </c>
      <c r="E121" s="54"/>
      <c r="F121" s="57"/>
      <c r="G121" s="57"/>
      <c r="H121" s="57"/>
      <c r="I121" s="57"/>
      <c r="J121" s="57"/>
      <c r="K121" s="57"/>
      <c r="L121" s="57"/>
      <c r="M121" s="57"/>
      <c r="N121" s="57"/>
      <c r="O121" s="57"/>
      <c r="P121" s="57"/>
      <c r="Q121" s="57"/>
      <c r="R121" s="57"/>
      <c r="S121" s="57"/>
      <c r="T121" s="57"/>
      <c r="U121" s="57"/>
      <c r="V121" s="59"/>
      <c r="W121" s="57"/>
      <c r="X121" s="57"/>
      <c r="Y121" s="57"/>
      <c r="Z121" s="57"/>
      <c r="AA121" s="57"/>
      <c r="AB121" s="57"/>
      <c r="AC121" s="57"/>
      <c r="AD121" s="57"/>
      <c r="AE121" s="57"/>
      <c r="AF121" s="57"/>
      <c r="AG121" s="57"/>
    </row>
    <row r="122" spans="1:33" s="2" customFormat="1" ht="30" customHeight="1" thickBot="1" x14ac:dyDescent="0.35">
      <c r="A122" s="49" t="s">
        <v>137</v>
      </c>
      <c r="B122" s="66">
        <v>1</v>
      </c>
      <c r="C122" s="37">
        <v>45442</v>
      </c>
      <c r="D122" s="37">
        <v>45442</v>
      </c>
      <c r="E122" s="54"/>
      <c r="F122" s="57"/>
      <c r="G122" s="57"/>
      <c r="H122" s="57"/>
      <c r="I122" s="57"/>
      <c r="J122" s="57"/>
      <c r="K122" s="57"/>
      <c r="L122" s="57"/>
      <c r="M122" s="57"/>
      <c r="N122" s="57"/>
      <c r="O122" s="57"/>
      <c r="P122" s="57"/>
      <c r="Q122" s="57"/>
      <c r="R122" s="57"/>
      <c r="S122" s="57"/>
      <c r="T122" s="57"/>
      <c r="U122" s="57"/>
      <c r="V122" s="59"/>
      <c r="W122" s="57"/>
      <c r="X122" s="57"/>
      <c r="Y122" s="57"/>
      <c r="Z122" s="57"/>
      <c r="AA122" s="57"/>
      <c r="AB122" s="57"/>
      <c r="AC122" s="57"/>
      <c r="AD122" s="57"/>
      <c r="AE122" s="57"/>
      <c r="AF122" s="57"/>
      <c r="AG122" s="57"/>
    </row>
    <row r="123" spans="1:33" s="2" customFormat="1" ht="30" customHeight="1" thickBot="1" x14ac:dyDescent="0.35">
      <c r="A123" s="50" t="s">
        <v>138</v>
      </c>
      <c r="B123" s="73">
        <v>202</v>
      </c>
      <c r="C123" s="28">
        <v>45442</v>
      </c>
      <c r="D123" s="29">
        <v>45444</v>
      </c>
      <c r="E123" s="8">
        <f t="shared" ref="E123:E128" si="10">IF(OR(ISBLANK(task_start),ISBLANK(task_end)),"",task_end-task_start+1)</f>
        <v>3</v>
      </c>
      <c r="F123" s="57"/>
      <c r="G123" s="57"/>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c r="AE123" s="57"/>
      <c r="AF123" s="57"/>
      <c r="AG123" s="57"/>
    </row>
    <row r="124" spans="1:33" s="2" customFormat="1" ht="30" customHeight="1" thickBot="1" x14ac:dyDescent="0.35">
      <c r="A124" s="51" t="s">
        <v>139</v>
      </c>
      <c r="B124" s="67"/>
      <c r="C124" s="30">
        <v>45442</v>
      </c>
      <c r="D124" s="30">
        <v>45444</v>
      </c>
      <c r="E124" s="8">
        <f t="shared" si="10"/>
        <v>3</v>
      </c>
      <c r="F124" s="57"/>
      <c r="G124" s="57"/>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c r="AE124" s="57"/>
      <c r="AF124" s="57"/>
      <c r="AG124" s="57"/>
    </row>
    <row r="125" spans="1:33" s="2" customFormat="1" ht="30" customHeight="1" thickBot="1" x14ac:dyDescent="0.35">
      <c r="A125" s="51" t="s">
        <v>140</v>
      </c>
      <c r="B125" s="67">
        <v>20</v>
      </c>
      <c r="C125" s="30">
        <v>45442</v>
      </c>
      <c r="D125" s="30">
        <v>45444</v>
      </c>
      <c r="E125" s="8">
        <f t="shared" si="10"/>
        <v>3</v>
      </c>
      <c r="F125" s="57"/>
      <c r="G125" s="57"/>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c r="AE125" s="57"/>
      <c r="AF125" s="57"/>
      <c r="AG125" s="57"/>
    </row>
    <row r="126" spans="1:33" s="2" customFormat="1" ht="30" customHeight="1" thickBot="1" x14ac:dyDescent="0.35">
      <c r="A126" s="51" t="s">
        <v>141</v>
      </c>
      <c r="B126" s="67">
        <v>20</v>
      </c>
      <c r="C126" s="30">
        <v>45443</v>
      </c>
      <c r="D126" s="30">
        <v>45444</v>
      </c>
      <c r="E126" s="8">
        <f t="shared" si="10"/>
        <v>2</v>
      </c>
      <c r="F126" s="57"/>
      <c r="G126" s="57"/>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c r="AE126" s="57"/>
      <c r="AF126" s="57"/>
      <c r="AG126" s="57"/>
    </row>
    <row r="127" spans="1:33" s="2" customFormat="1" ht="30" customHeight="1" thickBot="1" x14ac:dyDescent="0.35">
      <c r="A127" s="51" t="s">
        <v>142</v>
      </c>
      <c r="B127" s="67"/>
      <c r="C127" s="30">
        <v>45443</v>
      </c>
      <c r="D127" s="30">
        <v>45444</v>
      </c>
      <c r="E127" s="8">
        <f t="shared" si="10"/>
        <v>2</v>
      </c>
      <c r="F127" s="57"/>
      <c r="G127" s="57"/>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c r="AE127" s="57"/>
      <c r="AF127" s="57"/>
      <c r="AG127" s="57"/>
    </row>
    <row r="128" spans="1:33" s="2" customFormat="1" ht="30" customHeight="1" thickBot="1" x14ac:dyDescent="0.35">
      <c r="A128" s="51" t="s">
        <v>143</v>
      </c>
      <c r="B128" s="67">
        <v>130</v>
      </c>
      <c r="C128" s="30">
        <v>45443</v>
      </c>
      <c r="D128" s="30">
        <v>45444</v>
      </c>
      <c r="E128" s="8">
        <f t="shared" si="10"/>
        <v>2</v>
      </c>
      <c r="F128" s="57"/>
      <c r="G128" s="57"/>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c r="AE128" s="57"/>
      <c r="AF128" s="57"/>
      <c r="AG128" s="57"/>
    </row>
    <row r="129" spans="1:33" s="2" customFormat="1" ht="30" customHeight="1" thickBot="1" x14ac:dyDescent="0.35">
      <c r="A129" s="51" t="s">
        <v>144</v>
      </c>
      <c r="B129" s="67">
        <v>70</v>
      </c>
      <c r="C129" s="30">
        <v>45444</v>
      </c>
      <c r="D129" s="30">
        <v>45444</v>
      </c>
      <c r="E129" s="8"/>
      <c r="F129" s="57"/>
      <c r="G129" s="57"/>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c r="AE129" s="57"/>
      <c r="AF129" s="57"/>
      <c r="AG129" s="57"/>
    </row>
    <row r="130" spans="1:33" s="2" customFormat="1" ht="30" customHeight="1" thickBot="1" x14ac:dyDescent="0.35">
      <c r="A130" s="51" t="s">
        <v>145</v>
      </c>
      <c r="B130" s="67"/>
      <c r="C130" s="30">
        <v>45444</v>
      </c>
      <c r="D130" s="30">
        <v>45444</v>
      </c>
      <c r="E130" s="54"/>
      <c r="F130" s="57"/>
      <c r="G130" s="57"/>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c r="AE130" s="57"/>
      <c r="AF130" s="57"/>
      <c r="AG130" s="57"/>
    </row>
    <row r="131" spans="1:33" s="2" customFormat="1" ht="30" customHeight="1" thickBot="1" x14ac:dyDescent="0.35">
      <c r="A131" s="51" t="s">
        <v>146</v>
      </c>
      <c r="B131" s="67">
        <v>1</v>
      </c>
      <c r="C131" s="30">
        <v>45444</v>
      </c>
      <c r="D131" s="30">
        <v>45444</v>
      </c>
      <c r="E131" s="54"/>
      <c r="F131" s="57"/>
      <c r="G131" s="57"/>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c r="AE131" s="57"/>
      <c r="AF131" s="57"/>
      <c r="AG131" s="57"/>
    </row>
    <row r="132" spans="1:33" s="2" customFormat="1" ht="30" customHeight="1" thickBot="1" x14ac:dyDescent="0.35">
      <c r="A132" s="51" t="s">
        <v>147</v>
      </c>
      <c r="B132" s="67">
        <v>1</v>
      </c>
      <c r="C132" s="30">
        <v>45444</v>
      </c>
      <c r="D132" s="30">
        <v>45444</v>
      </c>
      <c r="E132" s="54"/>
      <c r="F132" s="57"/>
      <c r="G132" s="57"/>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c r="AE132" s="57"/>
      <c r="AF132" s="57"/>
      <c r="AG132" s="57"/>
    </row>
    <row r="133" spans="1:33" s="2" customFormat="1" ht="30" customHeight="1" thickBot="1" x14ac:dyDescent="0.35">
      <c r="A133" s="52" t="s">
        <v>148</v>
      </c>
      <c r="B133" s="74">
        <v>115</v>
      </c>
      <c r="C133" s="31">
        <v>45444</v>
      </c>
      <c r="D133" s="32">
        <v>45445</v>
      </c>
      <c r="E133" s="8">
        <f t="shared" ref="E133:E138" si="11">IF(OR(ISBLANK(task_start),ISBLANK(task_end)),"",task_end-task_start+1)</f>
        <v>2</v>
      </c>
      <c r="F133" s="57"/>
      <c r="G133" s="57"/>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c r="AE133" s="57"/>
      <c r="AF133" s="57"/>
      <c r="AG133" s="57"/>
    </row>
    <row r="134" spans="1:33" s="2" customFormat="1" ht="30" customHeight="1" thickBot="1" x14ac:dyDescent="0.35">
      <c r="A134" s="53" t="s">
        <v>149</v>
      </c>
      <c r="B134" s="68"/>
      <c r="C134" s="38">
        <v>45444</v>
      </c>
      <c r="D134" s="38">
        <v>45445</v>
      </c>
      <c r="E134" s="8">
        <f t="shared" si="11"/>
        <v>2</v>
      </c>
      <c r="F134" s="57"/>
      <c r="G134" s="57"/>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c r="AE134" s="57"/>
      <c r="AF134" s="57"/>
      <c r="AG134" s="57"/>
    </row>
    <row r="135" spans="1:33" s="2" customFormat="1" ht="30" customHeight="1" thickBot="1" x14ac:dyDescent="0.35">
      <c r="A135" s="53" t="s">
        <v>150</v>
      </c>
      <c r="B135" s="68">
        <v>10</v>
      </c>
      <c r="C135" s="38">
        <v>45444</v>
      </c>
      <c r="D135" s="38">
        <v>45445</v>
      </c>
      <c r="E135" s="8">
        <f t="shared" si="11"/>
        <v>2</v>
      </c>
      <c r="F135" s="57"/>
      <c r="G135" s="57"/>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c r="AE135" s="57"/>
      <c r="AF135" s="57"/>
      <c r="AG135" s="57"/>
    </row>
    <row r="136" spans="1:33" s="2" customFormat="1" ht="30" customHeight="1" thickBot="1" x14ac:dyDescent="0.35">
      <c r="A136" s="53" t="s">
        <v>151</v>
      </c>
      <c r="B136" s="68">
        <v>5</v>
      </c>
      <c r="C136" s="38">
        <v>45444</v>
      </c>
      <c r="D136" s="38">
        <v>45445</v>
      </c>
      <c r="E136" s="8">
        <f t="shared" si="11"/>
        <v>2</v>
      </c>
      <c r="F136" s="57"/>
      <c r="G136" s="57"/>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c r="AE136" s="57"/>
      <c r="AF136" s="57"/>
      <c r="AG136" s="57"/>
    </row>
    <row r="137" spans="1:33" s="2" customFormat="1" ht="30" customHeight="1" thickBot="1" x14ac:dyDescent="0.35">
      <c r="A137" s="53" t="s">
        <v>152</v>
      </c>
      <c r="B137" s="68">
        <v>30</v>
      </c>
      <c r="C137" s="38">
        <v>45444</v>
      </c>
      <c r="D137" s="38">
        <v>45445</v>
      </c>
      <c r="E137" s="8">
        <f t="shared" si="11"/>
        <v>2</v>
      </c>
      <c r="F137" s="57"/>
      <c r="G137" s="57"/>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c r="AE137" s="57"/>
      <c r="AF137" s="57"/>
      <c r="AG137" s="57"/>
    </row>
    <row r="138" spans="1:33" s="2" customFormat="1" ht="30" customHeight="1" thickBot="1" x14ac:dyDescent="0.35">
      <c r="A138" s="53" t="s">
        <v>153</v>
      </c>
      <c r="B138" s="68"/>
      <c r="C138" s="38">
        <v>45444</v>
      </c>
      <c r="D138" s="38">
        <v>45445</v>
      </c>
      <c r="E138" s="8">
        <f t="shared" si="11"/>
        <v>2</v>
      </c>
      <c r="F138" s="57"/>
      <c r="G138" s="57"/>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c r="AE138" s="57"/>
      <c r="AF138" s="57"/>
      <c r="AG138" s="57"/>
    </row>
    <row r="139" spans="1:33" s="2" customFormat="1" ht="30" customHeight="1" thickBot="1" x14ac:dyDescent="0.35">
      <c r="A139" s="53" t="s">
        <v>154</v>
      </c>
      <c r="B139" s="68">
        <v>30</v>
      </c>
      <c r="C139" s="38">
        <v>45444</v>
      </c>
      <c r="D139" s="38">
        <v>45445</v>
      </c>
      <c r="E139" s="8"/>
      <c r="F139" s="57"/>
      <c r="G139" s="57"/>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c r="AE139" s="57"/>
      <c r="AF139" s="57"/>
      <c r="AG139" s="57"/>
    </row>
    <row r="140" spans="1:33" s="2" customFormat="1" ht="30" customHeight="1" thickBot="1" x14ac:dyDescent="0.35">
      <c r="A140" s="53" t="s">
        <v>155</v>
      </c>
      <c r="B140" s="68">
        <v>30</v>
      </c>
      <c r="C140" s="38">
        <v>45445</v>
      </c>
      <c r="D140" s="38">
        <v>45445</v>
      </c>
      <c r="E140" s="54"/>
      <c r="F140" s="57"/>
      <c r="G140" s="57"/>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c r="AE140" s="57"/>
      <c r="AF140" s="57"/>
      <c r="AG140" s="57"/>
    </row>
    <row r="141" spans="1:33" s="2" customFormat="1" ht="30" customHeight="1" thickBot="1" x14ac:dyDescent="0.35">
      <c r="A141" s="53" t="s">
        <v>156</v>
      </c>
      <c r="B141" s="68">
        <v>10</v>
      </c>
      <c r="C141" s="38">
        <v>45445</v>
      </c>
      <c r="D141" s="38">
        <v>45445</v>
      </c>
      <c r="E141" s="54"/>
      <c r="F141" s="57"/>
      <c r="G141" s="57"/>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c r="AE141" s="57"/>
      <c r="AF141" s="57"/>
      <c r="AG141" s="57"/>
    </row>
  </sheetData>
  <autoFilter ref="A1:AG141" xr:uid="{00000000-0001-0000-0000-000000000000}"/>
  <mergeCells count="5">
    <mergeCell ref="C2:D2"/>
    <mergeCell ref="F3:L3"/>
    <mergeCell ref="M3:S3"/>
    <mergeCell ref="T3:Z3"/>
    <mergeCell ref="AA3:AG3"/>
  </mergeCells>
  <conditionalFormatting sqref="F4:AF141">
    <cfRule type="expression" dxfId="5" priority="63">
      <formula>AND(TODAY()&gt;=F$4,TODAY()&lt;G$4)</formula>
    </cfRule>
  </conditionalFormatting>
  <conditionalFormatting sqref="F6:AF141">
    <cfRule type="expression" dxfId="4" priority="57">
      <formula>AND(task_start&lt;=F$4,ROUNDDOWN((task_end-task_start+1)*task_progress,0)+task_start-1&gt;=F$4)</formula>
    </cfRule>
    <cfRule type="expression" dxfId="3" priority="58" stopIfTrue="1">
      <formula>AND(task_end&gt;=F$4,task_start&lt;G$4)</formula>
    </cfRule>
  </conditionalFormatting>
  <conditionalFormatting sqref="AG4:AG141">
    <cfRule type="expression" dxfId="2" priority="66">
      <formula>AND(TODAY()&gt;=AG$4,TODAY()&lt;#REF!)</formula>
    </cfRule>
  </conditionalFormatting>
  <conditionalFormatting sqref="AG6:AG141">
    <cfRule type="expression" dxfId="1" priority="71">
      <formula>AND(task_start&lt;=AG$4,ROUNDDOWN((task_end-task_start+1)*task_progress,0)+task_start-1&gt;=AG$4)</formula>
    </cfRule>
    <cfRule type="expression" dxfId="0" priority="72" stopIfTrue="1">
      <formula>AND(task_end&gt;=AG$4,task_start&lt;#REF!)</formula>
    </cfRule>
  </conditionalFormatting>
  <dataValidations disablePrompts="1" count="1">
    <dataValidation type="whole" operator="greaterThanOrEqual" allowBlank="1" showInputMessage="1" promptTitle="Mostrar semana" prompt="Al cambiar este número, se desplazará la vista del diagrama de Gantt." sqref="C3" xr:uid="{00000000-0002-0000-0000-000000000000}">
      <formula1>1</formula1>
    </dataValidation>
  </dataValidations>
  <printOptions horizontalCentered="1"/>
  <pageMargins left="0.35" right="0.35" top="0.35" bottom="0.5" header="0.3" footer="0.3"/>
  <pageSetup paperSize="9" scale="76" fitToHeight="0" orientation="landscape" r:id="rId1"/>
  <headerFooter differentFirst="1" scaleWithDoc="0">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668EF-35FD-46F1-8AD1-A1D6FEC06276}">
  <sheetPr codeName="Hoja2"/>
  <dimension ref="A1:B5"/>
  <sheetViews>
    <sheetView workbookViewId="0">
      <selection activeCell="B1" sqref="B1:B5"/>
    </sheetView>
  </sheetViews>
  <sheetFormatPr baseColWidth="10" defaultRowHeight="14.4" x14ac:dyDescent="0.3"/>
  <sheetData>
    <row r="1" spans="1:2" x14ac:dyDescent="0.3">
      <c r="A1" t="s">
        <v>157</v>
      </c>
      <c r="B1" t="e">
        <f>VLOOKUP(A1,ProjectSchedule!A:D,3,0)</f>
        <v>#N/A</v>
      </c>
    </row>
    <row r="2" spans="1:2" x14ac:dyDescent="0.3">
      <c r="A2" t="s">
        <v>158</v>
      </c>
      <c r="B2" t="e">
        <f>VLOOKUP(A2,ProjectSchedule!A:D,3,0)</f>
        <v>#N/A</v>
      </c>
    </row>
    <row r="3" spans="1:2" x14ac:dyDescent="0.3">
      <c r="A3" t="s">
        <v>158</v>
      </c>
      <c r="B3" t="e">
        <f>VLOOKUP(A3,ProjectSchedule!A:D,3,0)</f>
        <v>#N/A</v>
      </c>
    </row>
    <row r="4" spans="1:2" x14ac:dyDescent="0.3">
      <c r="A4" t="s">
        <v>158</v>
      </c>
      <c r="B4" t="e">
        <f>VLOOKUP(A4,ProjectSchedule!A:D,3,0)</f>
        <v>#N/A</v>
      </c>
    </row>
    <row r="5" spans="1:2" x14ac:dyDescent="0.3">
      <c r="B5" t="e">
        <f>VLOOKUP(A5,ProjectSchedule!A:D,3,0)</f>
        <v>#N/A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16"/>
  <sheetViews>
    <sheetView showGridLines="0" zoomScaleNormal="100" workbookViewId="0"/>
  </sheetViews>
  <sheetFormatPr baseColWidth="10" defaultColWidth="9.109375" defaultRowHeight="13.8" x14ac:dyDescent="0.3"/>
  <cols>
    <col min="1" max="1" width="87.109375" style="10" customWidth="1"/>
    <col min="2" max="16384" width="9.109375" style="1"/>
  </cols>
  <sheetData>
    <row r="1" spans="1:2" ht="46.5" customHeight="1" x14ac:dyDescent="0.3"/>
    <row r="2" spans="1:2" s="12" customFormat="1" ht="15.6" x14ac:dyDescent="0.3">
      <c r="A2" s="11" t="s">
        <v>4</v>
      </c>
      <c r="B2" s="11"/>
    </row>
    <row r="3" spans="1:2" s="16" customFormat="1" ht="27" customHeight="1" x14ac:dyDescent="0.3">
      <c r="A3" s="23" t="s">
        <v>5</v>
      </c>
      <c r="B3" s="17"/>
    </row>
    <row r="4" spans="1:2" s="13" customFormat="1" ht="25.8" x14ac:dyDescent="0.5">
      <c r="A4" s="14" t="s">
        <v>6</v>
      </c>
    </row>
    <row r="5" spans="1:2" ht="74.099999999999994" customHeight="1" x14ac:dyDescent="0.3">
      <c r="A5" s="15" t="s">
        <v>7</v>
      </c>
    </row>
    <row r="6" spans="1:2" ht="26.25" customHeight="1" x14ac:dyDescent="0.3">
      <c r="A6" s="14" t="s">
        <v>8</v>
      </c>
    </row>
    <row r="7" spans="1:2" s="10" customFormat="1" ht="215.25" customHeight="1" x14ac:dyDescent="0.3">
      <c r="A7" s="19" t="s">
        <v>9</v>
      </c>
    </row>
    <row r="8" spans="1:2" s="13" customFormat="1" ht="25.8" x14ac:dyDescent="0.5">
      <c r="A8" s="14" t="s">
        <v>10</v>
      </c>
    </row>
    <row r="9" spans="1:2" ht="57.6" x14ac:dyDescent="0.3">
      <c r="A9" s="15" t="s">
        <v>11</v>
      </c>
    </row>
    <row r="10" spans="1:2" s="10" customFormat="1" ht="27.9" customHeight="1" x14ac:dyDescent="0.3">
      <c r="A10" s="18" t="s">
        <v>12</v>
      </c>
    </row>
    <row r="11" spans="1:2" s="13" customFormat="1" ht="25.8" x14ac:dyDescent="0.5">
      <c r="A11" s="14" t="s">
        <v>13</v>
      </c>
    </row>
    <row r="12" spans="1:2" ht="28.8" x14ac:dyDescent="0.3">
      <c r="A12" s="15" t="s">
        <v>14</v>
      </c>
    </row>
    <row r="13" spans="1:2" s="10" customFormat="1" ht="27.9" customHeight="1" x14ac:dyDescent="0.3">
      <c r="A13" s="18" t="s">
        <v>15</v>
      </c>
    </row>
    <row r="14" spans="1:2" s="13" customFormat="1" ht="25.8" x14ac:dyDescent="0.5">
      <c r="A14" s="14" t="s">
        <v>16</v>
      </c>
    </row>
    <row r="15" spans="1:2" ht="96.75" customHeight="1" x14ac:dyDescent="0.3">
      <c r="A15" s="15" t="s">
        <v>17</v>
      </c>
    </row>
    <row r="16" spans="1:2" ht="86.4" x14ac:dyDescent="0.3">
      <c r="A16" s="15" t="s">
        <v>18</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paperSize="9"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709d5003-3173-493c-ac99-985351f5afe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B3BA11992AD824479B5980D04B2F990E" ma:contentTypeVersion="15" ma:contentTypeDescription="Crear nuevo documento." ma:contentTypeScope="" ma:versionID="4bea6aaa6026b38c70ffc070e2e8ad60">
  <xsd:schema xmlns:xsd="http://www.w3.org/2001/XMLSchema" xmlns:xs="http://www.w3.org/2001/XMLSchema" xmlns:p="http://schemas.microsoft.com/office/2006/metadata/properties" xmlns:ns3="709d5003-3173-493c-ac99-985351f5afe9" xmlns:ns4="adcabde3-5b80-4a45-9033-a152102eef30" targetNamespace="http://schemas.microsoft.com/office/2006/metadata/properties" ma:root="true" ma:fieldsID="0ede358cf1b973ed7fd0f41ddf5df379" ns3:_="" ns4:_="">
    <xsd:import namespace="709d5003-3173-493c-ac99-985351f5afe9"/>
    <xsd:import namespace="adcabde3-5b80-4a45-9033-a152102eef30"/>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AutoTags" minOccurs="0"/>
                <xsd:element ref="ns3:MediaServiceOCR" minOccurs="0"/>
                <xsd:element ref="ns3:MediaServiceGenerationTime" minOccurs="0"/>
                <xsd:element ref="ns3:MediaServiceEventHashCode" minOccurs="0"/>
                <xsd:element ref="ns3:MediaServiceObjectDetectorVersions" minOccurs="0"/>
                <xsd:element ref="ns3:MediaServiceSystemTags" minOccurs="0"/>
                <xsd:element ref="ns3:MediaLengthInSecond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d5003-3173-493c-ac99-985351f5afe9"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ystemTags" ma:index="20" nillable="true" ma:displayName="MediaServiceSystemTags" ma:hidden="true" ma:internalName="MediaServiceSystemTags" ma:readOnly="true">
      <xsd:simpleType>
        <xsd:restriction base="dms:Note"/>
      </xsd:simpleType>
    </xsd:element>
    <xsd:element name="MediaLengthInSeconds" ma:index="21" nillable="true" ma:displayName="MediaLengthInSeconds" ma:hidden="true" ma:internalName="MediaLengthInSeconds" ma:readOnly="true">
      <xsd:simpleType>
        <xsd:restriction base="dms:Unknown"/>
      </xsd:simpleType>
    </xsd:element>
    <xsd:element name="MediaServiceDateTaken" ma:index="22"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dcabde3-5b80-4a45-9033-a152102eef30" elementFormDefault="qualified">
    <xsd:import namespace="http://schemas.microsoft.com/office/2006/documentManagement/types"/>
    <xsd:import namespace="http://schemas.microsoft.com/office/infopath/2007/PartnerControls"/>
    <xsd:element name="SharedWithUsers" ma:index="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Detalles de uso compartido" ma:internalName="SharedWithDetails" ma:readOnly="true">
      <xsd:simpleType>
        <xsd:restriction base="dms:Note">
          <xsd:maxLength value="255"/>
        </xsd:restriction>
      </xsd:simpleType>
    </xsd:element>
    <xsd:element name="SharingHintHash" ma:index="11"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A34E49-7289-4AEA-9593-4F55E04ADB10}">
  <ds:schemaRefs>
    <ds:schemaRef ds:uri="http://schemas.microsoft.com/sharepoint/v3/contenttype/forms"/>
  </ds:schemaRefs>
</ds:datastoreItem>
</file>

<file path=customXml/itemProps2.xml><?xml version="1.0" encoding="utf-8"?>
<ds:datastoreItem xmlns:ds="http://schemas.openxmlformats.org/officeDocument/2006/customXml" ds:itemID="{AC3AD2E1-977A-4D4F-8EE8-D64B5FFADF75}">
  <ds:schemaRefs>
    <ds:schemaRef ds:uri="http://schemas.microsoft.com/office/2006/documentManagement/types"/>
    <ds:schemaRef ds:uri="http://www.w3.org/XML/1998/namespace"/>
    <ds:schemaRef ds:uri="709d5003-3173-493c-ac99-985351f5afe9"/>
    <ds:schemaRef ds:uri="http://purl.org/dc/dcmitype/"/>
    <ds:schemaRef ds:uri="http://purl.org/dc/elements/1.1/"/>
    <ds:schemaRef ds:uri="http://schemas.microsoft.com/office/infopath/2007/PartnerControls"/>
    <ds:schemaRef ds:uri="http://purl.org/dc/terms/"/>
    <ds:schemaRef ds:uri="http://schemas.openxmlformats.org/package/2006/metadata/core-properties"/>
    <ds:schemaRef ds:uri="adcabde3-5b80-4a45-9033-a152102eef30"/>
    <ds:schemaRef ds:uri="http://schemas.microsoft.com/office/2006/metadata/properties"/>
  </ds:schemaRefs>
</ds:datastoreItem>
</file>

<file path=customXml/itemProps3.xml><?xml version="1.0" encoding="utf-8"?>
<ds:datastoreItem xmlns:ds="http://schemas.openxmlformats.org/officeDocument/2006/customXml" ds:itemID="{17E9D959-3F61-4EEB-95AA-BF34DB94C4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d5003-3173-493c-ac99-985351f5afe9"/>
    <ds:schemaRef ds:uri="adcabde3-5b80-4a45-9033-a152102eef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Hojas de cálculo</vt:lpstr>
      </vt:variant>
      <vt:variant>
        <vt:i4>3</vt:i4>
      </vt:variant>
      <vt:variant>
        <vt:lpstr>Rangos con nombre</vt:lpstr>
      </vt:variant>
      <vt:variant>
        <vt:i4>5</vt:i4>
      </vt:variant>
    </vt:vector>
  </HeadingPairs>
  <TitlesOfParts>
    <vt:vector size="8" baseType="lpstr">
      <vt:lpstr>ProjectSchedule</vt:lpstr>
      <vt:lpstr>Hoja1</vt:lpstr>
      <vt:lpstr>Acerca de</vt:lpstr>
      <vt:lpstr>Inicio_del_proyecto</vt:lpstr>
      <vt:lpstr>Semana_para_mostrar</vt:lpstr>
      <vt:lpstr>ProjectSchedule!task_end</vt:lpstr>
      <vt:lpstr>ProjectSchedule!task_start</vt:lpstr>
      <vt:lpstr>ProjectSchedule!Títulos_a_imprimir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2024-05-31T23:33:42Z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0x010100B3BA11992AD824479B5980D04B2F990E</vt:lpwstr>
  </property>
</Properties>
</file>